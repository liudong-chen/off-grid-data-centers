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MIT Dropbox\Shen Wang\MIT\RA\DC_RA_project\"/>
    </mc:Choice>
  </mc:AlternateContent>
  <xr:revisionPtr revIDLastSave="0" documentId="8_{15C35BD3-5EB0-4AFF-BF72-BA336781D707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Recommended_CEM_Base" sheetId="13" r:id="rId1"/>
    <sheet name="Assumptions" sheetId="1" r:id="rId2"/>
    <sheet name="README_Sources" sheetId="2" r:id="rId3"/>
    <sheet name="ERCOT_LTSA_2026" sheetId="3" r:id="rId4"/>
    <sheet name="EIA_AEO2026_TRE" sheetId="4" r:id="rId5"/>
    <sheet name="NLR_ATB_2024b" sheetId="5" r:id="rId6"/>
    <sheet name="NLR_BESS_2025" sheetId="6" r:id="rId7"/>
    <sheet name="LBNL_Actuals" sheetId="7" r:id="rId8"/>
    <sheet name="Compare_2030_2035" sheetId="8" r:id="rId9"/>
    <sheet name="CEM_BaseCase" sheetId="9" r:id="rId10"/>
    <sheet name="HOPE_CostProfiles" sheetId="10" r:id="rId11"/>
    <sheet name="HOPE_GenCandidate" sheetId="11" r:id="rId12"/>
    <sheet name="HOPE_StorageCandidate" sheetId="12" r:id="rId13"/>
    <sheet name="Diesel_Review" sheetId="14" r:id="rId1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4" l="1"/>
  <c r="C16" i="14"/>
  <c r="I9" i="14" s="1"/>
  <c r="C15" i="14"/>
  <c r="C14" i="14"/>
  <c r="J10" i="14"/>
  <c r="I10" i="14"/>
  <c r="L9" i="14"/>
  <c r="L8" i="14"/>
  <c r="J8" i="14"/>
  <c r="I8" i="14"/>
  <c r="K8" i="14" s="1"/>
  <c r="L7" i="14"/>
  <c r="K7" i="14"/>
  <c r="I7" i="14"/>
  <c r="J7" i="14" s="1"/>
  <c r="L6" i="14"/>
  <c r="J6" i="14"/>
  <c r="I6" i="14"/>
  <c r="K6" i="14" s="1"/>
  <c r="L5" i="14"/>
  <c r="K5" i="14"/>
  <c r="I5" i="14"/>
  <c r="J5" i="14" s="1"/>
  <c r="G27" i="13"/>
  <c r="F27" i="13"/>
  <c r="E27" i="13"/>
  <c r="D27" i="13"/>
  <c r="C27" i="13"/>
  <c r="B27" i="13"/>
  <c r="J15" i="13"/>
  <c r="C15" i="13"/>
  <c r="B15" i="13"/>
  <c r="M13" i="13"/>
  <c r="K13" i="13"/>
  <c r="P13" i="8" s="1"/>
  <c r="J13" i="13"/>
  <c r="I13" i="13"/>
  <c r="G13" i="13"/>
  <c r="F23" i="10" s="1"/>
  <c r="D13" i="13"/>
  <c r="E23" i="10" s="1"/>
  <c r="C13" i="13"/>
  <c r="G23" i="10" s="1"/>
  <c r="B13" i="13"/>
  <c r="I24" i="10" s="1"/>
  <c r="C12" i="13"/>
  <c r="G13" i="10" s="1"/>
  <c r="B12" i="13"/>
  <c r="I22" i="10" s="1"/>
  <c r="C11" i="13"/>
  <c r="E11" i="13" s="1"/>
  <c r="B11" i="13"/>
  <c r="I12" i="10" s="1"/>
  <c r="C10" i="13"/>
  <c r="B10" i="13"/>
  <c r="I20" i="10" s="1"/>
  <c r="M9" i="13"/>
  <c r="F19" i="10" s="1"/>
  <c r="I9" i="13"/>
  <c r="D19" i="10" s="1"/>
  <c r="F16" i="11" s="1"/>
  <c r="G9" i="13"/>
  <c r="F10" i="10" s="1"/>
  <c r="X10" i="10" s="1"/>
  <c r="C9" i="13"/>
  <c r="E9" i="13" s="1"/>
  <c r="B9" i="13"/>
  <c r="K8" i="13"/>
  <c r="C8" i="13"/>
  <c r="G18" i="10" s="1"/>
  <c r="B8" i="13"/>
  <c r="M7" i="13"/>
  <c r="F17" i="10" s="1"/>
  <c r="J7" i="13"/>
  <c r="S8" i="10" s="1"/>
  <c r="D8" i="10" s="1"/>
  <c r="F8" i="11" s="1"/>
  <c r="I7" i="13"/>
  <c r="G7" i="13"/>
  <c r="C7" i="13"/>
  <c r="B7" i="13"/>
  <c r="E7" i="13" s="1"/>
  <c r="H8" i="10" s="1"/>
  <c r="C6" i="13"/>
  <c r="B6" i="13"/>
  <c r="I7" i="10" s="1"/>
  <c r="M5" i="13"/>
  <c r="F15" i="10" s="1"/>
  <c r="X15" i="10" s="1"/>
  <c r="J5" i="13"/>
  <c r="S6" i="10" s="1"/>
  <c r="I5" i="13"/>
  <c r="G5" i="13"/>
  <c r="F6" i="10" s="1"/>
  <c r="C5" i="13"/>
  <c r="G15" i="10" s="1"/>
  <c r="B5" i="13"/>
  <c r="I15" i="10" s="1"/>
  <c r="M4" i="13"/>
  <c r="J4" i="13"/>
  <c r="S14" i="10" s="1"/>
  <c r="I4" i="13"/>
  <c r="G4" i="13"/>
  <c r="C4" i="13"/>
  <c r="B4" i="13"/>
  <c r="I5" i="10" s="1"/>
  <c r="D10" i="12"/>
  <c r="D9" i="12"/>
  <c r="D8" i="12"/>
  <c r="D7" i="12"/>
  <c r="D6" i="12"/>
  <c r="D5" i="12"/>
  <c r="S26" i="10"/>
  <c r="X26" i="10" s="1"/>
  <c r="X25" i="10"/>
  <c r="S25" i="10"/>
  <c r="G25" i="10"/>
  <c r="D25" i="10"/>
  <c r="F19" i="11" s="1"/>
  <c r="S24" i="10"/>
  <c r="X24" i="10" s="1"/>
  <c r="F24" i="10"/>
  <c r="E24" i="10"/>
  <c r="S23" i="10"/>
  <c r="I23" i="10"/>
  <c r="X21" i="10"/>
  <c r="I21" i="10"/>
  <c r="G21" i="10"/>
  <c r="I19" i="10"/>
  <c r="I17" i="10"/>
  <c r="H17" i="10"/>
  <c r="G17" i="10"/>
  <c r="S16" i="10"/>
  <c r="D16" i="10" s="1"/>
  <c r="G16" i="10"/>
  <c r="F16" i="10"/>
  <c r="X16" i="10" s="1"/>
  <c r="C16" i="10"/>
  <c r="E13" i="11" s="1"/>
  <c r="S15" i="10"/>
  <c r="U12" i="11" s="1"/>
  <c r="I14" i="10"/>
  <c r="G14" i="10"/>
  <c r="F14" i="10"/>
  <c r="I13" i="10"/>
  <c r="G12" i="10"/>
  <c r="I10" i="10"/>
  <c r="G10" i="10"/>
  <c r="D10" i="10"/>
  <c r="F10" i="11" s="1"/>
  <c r="G8" i="10"/>
  <c r="F8" i="10"/>
  <c r="X8" i="10" s="1"/>
  <c r="S7" i="10"/>
  <c r="F7" i="10"/>
  <c r="I6" i="10"/>
  <c r="G6" i="10"/>
  <c r="S5" i="10"/>
  <c r="F5" i="10"/>
  <c r="J14" i="9"/>
  <c r="C14" i="9"/>
  <c r="B14" i="9"/>
  <c r="E14" i="9" s="1"/>
  <c r="M13" i="9"/>
  <c r="K13" i="9"/>
  <c r="L13" i="9" s="1"/>
  <c r="N13" i="9" s="1"/>
  <c r="J13" i="9"/>
  <c r="I13" i="9"/>
  <c r="G13" i="9"/>
  <c r="D13" i="9"/>
  <c r="C13" i="9"/>
  <c r="E13" i="9" s="1"/>
  <c r="B13" i="9"/>
  <c r="C12" i="9"/>
  <c r="B12" i="9"/>
  <c r="C11" i="9"/>
  <c r="E11" i="9" s="1"/>
  <c r="B11" i="9"/>
  <c r="C10" i="9"/>
  <c r="B10" i="9"/>
  <c r="M9" i="9"/>
  <c r="I9" i="9"/>
  <c r="G9" i="9"/>
  <c r="C9" i="9"/>
  <c r="E9" i="9" s="1"/>
  <c r="B9" i="9"/>
  <c r="M8" i="9"/>
  <c r="I8" i="9"/>
  <c r="G8" i="9"/>
  <c r="C8" i="9"/>
  <c r="B8" i="9"/>
  <c r="M7" i="9"/>
  <c r="J7" i="9"/>
  <c r="I7" i="9"/>
  <c r="G7" i="9"/>
  <c r="E7" i="9"/>
  <c r="C7" i="9"/>
  <c r="B7" i="9"/>
  <c r="E6" i="9"/>
  <c r="C6" i="9"/>
  <c r="B6" i="9"/>
  <c r="M5" i="9"/>
  <c r="J5" i="9"/>
  <c r="I5" i="9"/>
  <c r="G5" i="9"/>
  <c r="C5" i="9"/>
  <c r="B5" i="9"/>
  <c r="M4" i="9"/>
  <c r="J4" i="9"/>
  <c r="I4" i="9"/>
  <c r="G4" i="9"/>
  <c r="C4" i="9"/>
  <c r="E4" i="9" s="1"/>
  <c r="B4" i="9"/>
  <c r="O13" i="8"/>
  <c r="Q12" i="8"/>
  <c r="K12" i="8"/>
  <c r="Q11" i="8"/>
  <c r="F11" i="8"/>
  <c r="C11" i="8"/>
  <c r="Q10" i="8"/>
  <c r="Q9" i="8"/>
  <c r="H9" i="8"/>
  <c r="F9" i="8"/>
  <c r="Q8" i="8"/>
  <c r="K8" i="8"/>
  <c r="F8" i="8"/>
  <c r="C8" i="8"/>
  <c r="Q7" i="8"/>
  <c r="F7" i="8"/>
  <c r="D7" i="8"/>
  <c r="Q6" i="8"/>
  <c r="J6" i="8"/>
  <c r="F6" i="8"/>
  <c r="Q5" i="8"/>
  <c r="L5" i="8"/>
  <c r="F5" i="8"/>
  <c r="F6" i="7"/>
  <c r="F5" i="7"/>
  <c r="H8" i="8" s="1"/>
  <c r="G21" i="6"/>
  <c r="F21" i="6"/>
  <c r="E21" i="6"/>
  <c r="I20" i="6"/>
  <c r="G20" i="6"/>
  <c r="F20" i="6"/>
  <c r="E20" i="6"/>
  <c r="H19" i="6"/>
  <c r="G19" i="6"/>
  <c r="J19" i="6" s="1"/>
  <c r="F19" i="6"/>
  <c r="E19" i="6"/>
  <c r="G18" i="6"/>
  <c r="F18" i="6"/>
  <c r="I18" i="6" s="1"/>
  <c r="E18" i="6"/>
  <c r="H18" i="6" s="1"/>
  <c r="J17" i="6"/>
  <c r="I17" i="6"/>
  <c r="G17" i="6"/>
  <c r="F17" i="6"/>
  <c r="E17" i="6"/>
  <c r="I16" i="6"/>
  <c r="K11" i="13" s="1"/>
  <c r="H16" i="6"/>
  <c r="E26" i="13" s="1"/>
  <c r="G16" i="6"/>
  <c r="J16" i="6" s="1"/>
  <c r="G26" i="13" s="1"/>
  <c r="F16" i="6"/>
  <c r="E16" i="6"/>
  <c r="G15" i="6"/>
  <c r="F15" i="6"/>
  <c r="E15" i="6"/>
  <c r="J14" i="6"/>
  <c r="G14" i="6"/>
  <c r="F14" i="6"/>
  <c r="E14" i="6"/>
  <c r="I13" i="6"/>
  <c r="H13" i="6"/>
  <c r="G13" i="6"/>
  <c r="F13" i="6"/>
  <c r="E13" i="6"/>
  <c r="G12" i="6"/>
  <c r="J12" i="6" s="1"/>
  <c r="F12" i="6"/>
  <c r="I12" i="6" s="1"/>
  <c r="E12" i="6"/>
  <c r="H12" i="6" s="1"/>
  <c r="G11" i="6"/>
  <c r="F11" i="6"/>
  <c r="E11" i="6"/>
  <c r="I10" i="6"/>
  <c r="G10" i="6"/>
  <c r="J10" i="6" s="1"/>
  <c r="F10" i="6"/>
  <c r="E10" i="6"/>
  <c r="G9" i="6"/>
  <c r="J9" i="6" s="1"/>
  <c r="F9" i="6"/>
  <c r="E9" i="6"/>
  <c r="G8" i="6"/>
  <c r="F8" i="6"/>
  <c r="I8" i="6" s="1"/>
  <c r="E8" i="6"/>
  <c r="H8" i="6" s="1"/>
  <c r="I7" i="6"/>
  <c r="H7" i="6"/>
  <c r="G7" i="6"/>
  <c r="F7" i="6"/>
  <c r="E7" i="6"/>
  <c r="G6" i="6"/>
  <c r="F6" i="6"/>
  <c r="I6" i="6" s="1"/>
  <c r="E6" i="6"/>
  <c r="H6" i="6" s="1"/>
  <c r="G5" i="6"/>
  <c r="F5" i="6"/>
  <c r="E5" i="6"/>
  <c r="H5" i="6" s="1"/>
  <c r="P31" i="5"/>
  <c r="O31" i="5"/>
  <c r="N31" i="5"/>
  <c r="M31" i="5"/>
  <c r="K31" i="5"/>
  <c r="E12" i="8" s="1"/>
  <c r="O30" i="5"/>
  <c r="I12" i="13" s="1"/>
  <c r="N30" i="5"/>
  <c r="M30" i="5"/>
  <c r="L30" i="5"/>
  <c r="J12" i="8" s="1"/>
  <c r="K30" i="5"/>
  <c r="C12" i="8" s="1"/>
  <c r="P29" i="5"/>
  <c r="M29" i="5"/>
  <c r="L29" i="5"/>
  <c r="K29" i="5"/>
  <c r="D12" i="8" s="1"/>
  <c r="P28" i="5"/>
  <c r="O28" i="5"/>
  <c r="N28" i="5"/>
  <c r="M28" i="5"/>
  <c r="P27" i="5"/>
  <c r="O27" i="5"/>
  <c r="N27" i="5"/>
  <c r="M11" i="13" s="1"/>
  <c r="F21" i="10" s="1"/>
  <c r="M27" i="5"/>
  <c r="L27" i="5"/>
  <c r="J11" i="8" s="1"/>
  <c r="K27" i="5"/>
  <c r="O26" i="5"/>
  <c r="M26" i="5"/>
  <c r="L26" i="5"/>
  <c r="K11" i="8" s="1"/>
  <c r="K26" i="5"/>
  <c r="D11" i="8" s="1"/>
  <c r="P25" i="5"/>
  <c r="O25" i="5"/>
  <c r="M25" i="5"/>
  <c r="L25" i="5"/>
  <c r="L10" i="8" s="1"/>
  <c r="P24" i="5"/>
  <c r="O24" i="5"/>
  <c r="I10" i="9" s="1"/>
  <c r="N24" i="5"/>
  <c r="M24" i="5"/>
  <c r="K24" i="5"/>
  <c r="C10" i="8" s="1"/>
  <c r="P23" i="5"/>
  <c r="O23" i="5"/>
  <c r="M23" i="5"/>
  <c r="L23" i="5"/>
  <c r="K10" i="8" s="1"/>
  <c r="K23" i="5"/>
  <c r="D10" i="8" s="1"/>
  <c r="O22" i="5"/>
  <c r="N22" i="5"/>
  <c r="M22" i="5"/>
  <c r="L22" i="5"/>
  <c r="L9" i="8" s="1"/>
  <c r="P21" i="5"/>
  <c r="O21" i="5"/>
  <c r="N21" i="5"/>
  <c r="M21" i="5"/>
  <c r="L21" i="5"/>
  <c r="J9" i="8" s="1"/>
  <c r="K21" i="5"/>
  <c r="C9" i="8" s="1"/>
  <c r="P20" i="5"/>
  <c r="N20" i="5"/>
  <c r="M20" i="5"/>
  <c r="L20" i="5"/>
  <c r="K9" i="8" s="1"/>
  <c r="K20" i="5"/>
  <c r="D9" i="8" s="1"/>
  <c r="P19" i="5"/>
  <c r="O19" i="5"/>
  <c r="N19" i="5"/>
  <c r="L19" i="5"/>
  <c r="K19" i="5"/>
  <c r="P18" i="5"/>
  <c r="O18" i="5"/>
  <c r="N18" i="5"/>
  <c r="M18" i="5"/>
  <c r="L18" i="5"/>
  <c r="P17" i="5"/>
  <c r="O17" i="5"/>
  <c r="N17" i="5"/>
  <c r="M17" i="5"/>
  <c r="L17" i="5"/>
  <c r="K17" i="5"/>
  <c r="P16" i="5"/>
  <c r="N16" i="5"/>
  <c r="M16" i="5"/>
  <c r="L16" i="5"/>
  <c r="L8" i="8" s="1"/>
  <c r="K16" i="5"/>
  <c r="E8" i="8" s="1"/>
  <c r="P15" i="5"/>
  <c r="O15" i="5"/>
  <c r="I8" i="13" s="1"/>
  <c r="D18" i="10" s="1"/>
  <c r="F15" i="11" s="1"/>
  <c r="N15" i="5"/>
  <c r="M8" i="13" s="1"/>
  <c r="F18" i="10" s="1"/>
  <c r="L15" i="5"/>
  <c r="J8" i="8" s="1"/>
  <c r="K15" i="5"/>
  <c r="D8" i="13" s="1"/>
  <c r="O8" i="8" s="1"/>
  <c r="P14" i="5"/>
  <c r="O14" i="5"/>
  <c r="N14" i="5"/>
  <c r="M14" i="5"/>
  <c r="L14" i="5"/>
  <c r="E25" i="13" s="1"/>
  <c r="P13" i="5"/>
  <c r="O13" i="5"/>
  <c r="N13" i="5"/>
  <c r="M13" i="5"/>
  <c r="L13" i="5"/>
  <c r="K13" i="5"/>
  <c r="D24" i="13" s="1"/>
  <c r="P12" i="5"/>
  <c r="N12" i="5"/>
  <c r="M12" i="5"/>
  <c r="L12" i="5"/>
  <c r="J7" i="8" s="1"/>
  <c r="K12" i="5"/>
  <c r="C7" i="8" s="1"/>
  <c r="P11" i="5"/>
  <c r="O11" i="5"/>
  <c r="N11" i="5"/>
  <c r="L11" i="5"/>
  <c r="K7" i="8" s="1"/>
  <c r="K11" i="5"/>
  <c r="B24" i="13" s="1"/>
  <c r="P10" i="5"/>
  <c r="O10" i="5"/>
  <c r="N10" i="5"/>
  <c r="M10" i="5"/>
  <c r="L10" i="5"/>
  <c r="L6" i="8" s="1"/>
  <c r="P9" i="5"/>
  <c r="O9" i="5"/>
  <c r="N9" i="5"/>
  <c r="M9" i="5"/>
  <c r="L9" i="5"/>
  <c r="K9" i="5"/>
  <c r="C6" i="8" s="1"/>
  <c r="P8" i="5"/>
  <c r="N8" i="5"/>
  <c r="M8" i="5"/>
  <c r="L8" i="5"/>
  <c r="K6" i="8" s="1"/>
  <c r="K8" i="5"/>
  <c r="D6" i="8" s="1"/>
  <c r="P7" i="5"/>
  <c r="O7" i="5"/>
  <c r="N7" i="5"/>
  <c r="L7" i="5"/>
  <c r="K7" i="5"/>
  <c r="E5" i="8" s="1"/>
  <c r="P6" i="5"/>
  <c r="O6" i="5"/>
  <c r="N6" i="5"/>
  <c r="M6" i="5"/>
  <c r="L6" i="5"/>
  <c r="J5" i="8" s="1"/>
  <c r="P5" i="5"/>
  <c r="O5" i="5"/>
  <c r="N5" i="5"/>
  <c r="M5" i="5"/>
  <c r="L5" i="5"/>
  <c r="K5" i="8" s="1"/>
  <c r="K5" i="5"/>
  <c r="D5" i="8" s="1"/>
  <c r="J41" i="3"/>
  <c r="H41" i="3"/>
  <c r="G41" i="3"/>
  <c r="F41" i="3"/>
  <c r="E41" i="3"/>
  <c r="D41" i="3"/>
  <c r="C41" i="3"/>
  <c r="B41" i="3"/>
  <c r="A41" i="3"/>
  <c r="I41" i="3" s="1"/>
  <c r="A40" i="3"/>
  <c r="H40" i="3" s="1"/>
  <c r="J39" i="3"/>
  <c r="A39" i="3"/>
  <c r="J38" i="3"/>
  <c r="A38" i="3"/>
  <c r="D38" i="3" s="1"/>
  <c r="J37" i="3"/>
  <c r="H37" i="3"/>
  <c r="G37" i="3"/>
  <c r="F37" i="3"/>
  <c r="E37" i="3"/>
  <c r="D37" i="3"/>
  <c r="C37" i="3"/>
  <c r="B37" i="3"/>
  <c r="A37" i="3"/>
  <c r="I37" i="3" s="1"/>
  <c r="A36" i="3"/>
  <c r="H36" i="3" s="1"/>
  <c r="J35" i="3"/>
  <c r="A35" i="3"/>
  <c r="C35" i="3" s="1"/>
  <c r="J34" i="3"/>
  <c r="A34" i="3"/>
  <c r="H34" i="3" s="1"/>
  <c r="J33" i="3"/>
  <c r="H33" i="3"/>
  <c r="G33" i="3"/>
  <c r="F33" i="3"/>
  <c r="E33" i="3"/>
  <c r="D33" i="3"/>
  <c r="C33" i="3"/>
  <c r="B33" i="3"/>
  <c r="A33" i="3"/>
  <c r="I33" i="3" s="1"/>
  <c r="A32" i="3"/>
  <c r="J31" i="3"/>
  <c r="A31" i="3"/>
  <c r="B31" i="3" s="1"/>
  <c r="J30" i="3"/>
  <c r="A30" i="3"/>
  <c r="B30" i="3" s="1"/>
  <c r="J29" i="3"/>
  <c r="H29" i="3"/>
  <c r="G29" i="3"/>
  <c r="F29" i="3"/>
  <c r="E29" i="3"/>
  <c r="D29" i="3"/>
  <c r="C29" i="3"/>
  <c r="B29" i="3"/>
  <c r="A29" i="3"/>
  <c r="I29" i="3" s="1"/>
  <c r="A28" i="3"/>
  <c r="J27" i="3"/>
  <c r="A27" i="3"/>
  <c r="E27" i="3" s="1"/>
  <c r="C12" i="1"/>
  <c r="C11" i="1"/>
  <c r="J20" i="6" s="1"/>
  <c r="C10" i="1"/>
  <c r="C9" i="1"/>
  <c r="I8" i="10" l="1"/>
  <c r="S17" i="10"/>
  <c r="D17" i="10" s="1"/>
  <c r="F14" i="11" s="1"/>
  <c r="E6" i="13"/>
  <c r="H16" i="10" s="1"/>
  <c r="I11" i="10"/>
  <c r="D15" i="10"/>
  <c r="F12" i="11" s="1"/>
  <c r="I16" i="10"/>
  <c r="G24" i="10"/>
  <c r="E5" i="13"/>
  <c r="E13" i="13"/>
  <c r="E15" i="13"/>
  <c r="G7" i="10"/>
  <c r="U13" i="11"/>
  <c r="G19" i="10"/>
  <c r="D4" i="9"/>
  <c r="F4" i="9" s="1"/>
  <c r="H4" i="9" s="1"/>
  <c r="D4" i="13"/>
  <c r="B5" i="8"/>
  <c r="K5" i="13"/>
  <c r="I6" i="8"/>
  <c r="K5" i="9"/>
  <c r="D12" i="9"/>
  <c r="F12" i="9" s="1"/>
  <c r="H12" i="9" s="1"/>
  <c r="D12" i="13"/>
  <c r="B12" i="8"/>
  <c r="X5" i="10"/>
  <c r="H21" i="10"/>
  <c r="H12" i="10"/>
  <c r="D36" i="3"/>
  <c r="D40" i="3"/>
  <c r="M12" i="9"/>
  <c r="M12" i="13"/>
  <c r="F22" i="10" s="1"/>
  <c r="U5" i="11"/>
  <c r="D5" i="10"/>
  <c r="F5" i="11" s="1"/>
  <c r="C28" i="3"/>
  <c r="J28" i="3"/>
  <c r="B28" i="3"/>
  <c r="C32" i="3"/>
  <c r="J32" i="3"/>
  <c r="B32" i="3"/>
  <c r="E39" i="3"/>
  <c r="D39" i="3"/>
  <c r="D32" i="3"/>
  <c r="B39" i="3"/>
  <c r="G11" i="9"/>
  <c r="G11" i="13"/>
  <c r="F12" i="10" s="1"/>
  <c r="D13" i="10"/>
  <c r="I7" i="12" s="1"/>
  <c r="D22" i="10"/>
  <c r="I10" i="12" s="1"/>
  <c r="J21" i="14"/>
  <c r="C21" i="14"/>
  <c r="B21" i="14"/>
  <c r="K12" i="9"/>
  <c r="I12" i="8"/>
  <c r="B27" i="3"/>
  <c r="G12" i="13"/>
  <c r="F13" i="10" s="1"/>
  <c r="G12" i="9"/>
  <c r="C27" i="3"/>
  <c r="B35" i="3"/>
  <c r="B38" i="3"/>
  <c r="D27" i="3"/>
  <c r="F32" i="3"/>
  <c r="F39" i="3"/>
  <c r="F13" i="9"/>
  <c r="H13" i="9" s="1"/>
  <c r="D7" i="10"/>
  <c r="F7" i="11" s="1"/>
  <c r="U7" i="11"/>
  <c r="X14" i="10"/>
  <c r="X6" i="10"/>
  <c r="F25" i="13"/>
  <c r="E18" i="10"/>
  <c r="P8" i="8"/>
  <c r="K12" i="13"/>
  <c r="E31" i="3"/>
  <c r="D31" i="3"/>
  <c r="D28" i="3"/>
  <c r="B34" i="3"/>
  <c r="E28" i="3"/>
  <c r="C31" i="3"/>
  <c r="C39" i="3"/>
  <c r="G24" i="13"/>
  <c r="L7" i="8"/>
  <c r="F13" i="11"/>
  <c r="Z13" i="11" s="1"/>
  <c r="E35" i="3"/>
  <c r="D35" i="3"/>
  <c r="E36" i="3"/>
  <c r="F27" i="3"/>
  <c r="F31" i="3"/>
  <c r="D34" i="3"/>
  <c r="F36" i="3"/>
  <c r="G31" i="3"/>
  <c r="E34" i="3"/>
  <c r="G39" i="3"/>
  <c r="G40" i="3"/>
  <c r="F26" i="13"/>
  <c r="L11" i="13"/>
  <c r="N11" i="13" s="1"/>
  <c r="C21" i="10" s="1"/>
  <c r="E21" i="10"/>
  <c r="P11" i="8"/>
  <c r="M11" i="8"/>
  <c r="E8" i="9"/>
  <c r="M11" i="9"/>
  <c r="H28" i="3"/>
  <c r="M10" i="9"/>
  <c r="M10" i="13"/>
  <c r="F20" i="10" s="1"/>
  <c r="J6" i="6"/>
  <c r="H15" i="6"/>
  <c r="E5" i="9"/>
  <c r="D9" i="10"/>
  <c r="F9" i="11" s="1"/>
  <c r="D14" i="10"/>
  <c r="F11" i="11" s="1"/>
  <c r="U11" i="11"/>
  <c r="X18" i="10"/>
  <c r="G30" i="3"/>
  <c r="F30" i="3"/>
  <c r="G34" i="3"/>
  <c r="F34" i="3"/>
  <c r="C36" i="3"/>
  <c r="J36" i="3"/>
  <c r="B36" i="3"/>
  <c r="G38" i="3"/>
  <c r="F38" i="3"/>
  <c r="C40" i="3"/>
  <c r="J40" i="3"/>
  <c r="B40" i="3"/>
  <c r="C30" i="3"/>
  <c r="E32" i="3"/>
  <c r="C34" i="3"/>
  <c r="C38" i="3"/>
  <c r="E40" i="3"/>
  <c r="F28" i="3"/>
  <c r="D30" i="3"/>
  <c r="F35" i="3"/>
  <c r="F40" i="3"/>
  <c r="G27" i="3"/>
  <c r="G28" i="3"/>
  <c r="E30" i="3"/>
  <c r="G32" i="3"/>
  <c r="G35" i="3"/>
  <c r="G36" i="3"/>
  <c r="E38" i="3"/>
  <c r="G10" i="13"/>
  <c r="F11" i="10" s="1"/>
  <c r="G10" i="9"/>
  <c r="J21" i="6"/>
  <c r="H20" i="6"/>
  <c r="H17" i="6"/>
  <c r="I14" i="6"/>
  <c r="I11" i="6"/>
  <c r="J8" i="6"/>
  <c r="J5" i="6"/>
  <c r="I21" i="6"/>
  <c r="J18" i="6"/>
  <c r="I5" i="6"/>
  <c r="I9" i="6"/>
  <c r="H27" i="3"/>
  <c r="H30" i="3"/>
  <c r="H31" i="3"/>
  <c r="H32" i="3"/>
  <c r="H35" i="3"/>
  <c r="H38" i="3"/>
  <c r="H39" i="3"/>
  <c r="I27" i="3"/>
  <c r="I28" i="3"/>
  <c r="I30" i="3"/>
  <c r="I31" i="3"/>
  <c r="I32" i="3"/>
  <c r="I34" i="3"/>
  <c r="I35" i="3"/>
  <c r="I36" i="3"/>
  <c r="I38" i="3"/>
  <c r="I39" i="3"/>
  <c r="I40" i="3"/>
  <c r="H9" i="6"/>
  <c r="H11" i="6"/>
  <c r="B26" i="13" s="1"/>
  <c r="J13" i="6"/>
  <c r="I15" i="6"/>
  <c r="I19" i="6"/>
  <c r="H21" i="6"/>
  <c r="E7" i="8"/>
  <c r="U6" i="11"/>
  <c r="D6" i="10"/>
  <c r="F6" i="11" s="1"/>
  <c r="X19" i="10"/>
  <c r="D26" i="10"/>
  <c r="F20" i="11" s="1"/>
  <c r="C25" i="13"/>
  <c r="I11" i="9"/>
  <c r="I11" i="13"/>
  <c r="J15" i="6"/>
  <c r="E10" i="9"/>
  <c r="E12" i="9"/>
  <c r="E9" i="10"/>
  <c r="X23" i="10"/>
  <c r="D23" i="10"/>
  <c r="F17" i="11" s="1"/>
  <c r="G11" i="10"/>
  <c r="E10" i="13"/>
  <c r="G20" i="10"/>
  <c r="K9" i="14"/>
  <c r="J9" i="14"/>
  <c r="I21" i="14" s="1"/>
  <c r="H14" i="6"/>
  <c r="X7" i="10"/>
  <c r="C7" i="10"/>
  <c r="H10" i="10"/>
  <c r="H19" i="10"/>
  <c r="I10" i="13"/>
  <c r="E24" i="13"/>
  <c r="P30" i="5"/>
  <c r="N29" i="5"/>
  <c r="L28" i="5"/>
  <c r="L11" i="8" s="1"/>
  <c r="P26" i="5"/>
  <c r="N25" i="5"/>
  <c r="L24" i="5"/>
  <c r="J10" i="8" s="1"/>
  <c r="P22" i="5"/>
  <c r="K6" i="5"/>
  <c r="C5" i="8" s="1"/>
  <c r="M7" i="5"/>
  <c r="O8" i="5"/>
  <c r="K10" i="5"/>
  <c r="E6" i="8" s="1"/>
  <c r="M11" i="5"/>
  <c r="O12" i="5"/>
  <c r="K14" i="5"/>
  <c r="M15" i="5"/>
  <c r="G8" i="13" s="1"/>
  <c r="F9" i="10" s="1"/>
  <c r="O16" i="5"/>
  <c r="K18" i="5"/>
  <c r="M19" i="5"/>
  <c r="O20" i="5"/>
  <c r="K22" i="5"/>
  <c r="E9" i="8" s="1"/>
  <c r="N23" i="5"/>
  <c r="K25" i="5"/>
  <c r="E10" i="8" s="1"/>
  <c r="N26" i="5"/>
  <c r="K28" i="5"/>
  <c r="E11" i="8" s="1"/>
  <c r="O29" i="5"/>
  <c r="L31" i="5"/>
  <c r="L12" i="8" s="1"/>
  <c r="J11" i="6"/>
  <c r="D26" i="13" s="1"/>
  <c r="I9" i="10"/>
  <c r="I18" i="10"/>
  <c r="I26" i="10"/>
  <c r="I25" i="10"/>
  <c r="H10" i="6"/>
  <c r="I12" i="9"/>
  <c r="G5" i="10"/>
  <c r="E4" i="13"/>
  <c r="G9" i="10"/>
  <c r="E8" i="13"/>
  <c r="L8" i="13" s="1"/>
  <c r="N8" i="13" s="1"/>
  <c r="C18" i="10" s="1"/>
  <c r="G22" i="10"/>
  <c r="E12" i="13"/>
  <c r="H26" i="10"/>
  <c r="H25" i="10"/>
  <c r="J7" i="6"/>
  <c r="L10" i="14"/>
  <c r="D21" i="14" s="1"/>
  <c r="E21" i="14"/>
  <c r="K10" i="14"/>
  <c r="G26" i="10"/>
  <c r="D24" i="10"/>
  <c r="F18" i="11" s="1"/>
  <c r="L13" i="13" l="1"/>
  <c r="N13" i="13" s="1"/>
  <c r="C24" i="10" s="1"/>
  <c r="E18" i="11" s="1"/>
  <c r="H23" i="10"/>
  <c r="H24" i="10"/>
  <c r="F13" i="13"/>
  <c r="H13" i="13" s="1"/>
  <c r="C23" i="10" s="1"/>
  <c r="H7" i="10"/>
  <c r="H15" i="10"/>
  <c r="H6" i="10"/>
  <c r="X17" i="10"/>
  <c r="E15" i="11"/>
  <c r="Z15" i="11" s="1"/>
  <c r="W18" i="10"/>
  <c r="B28" i="13"/>
  <c r="E28" i="13"/>
  <c r="D8" i="9"/>
  <c r="B8" i="8"/>
  <c r="H22" i="10"/>
  <c r="H13" i="10"/>
  <c r="X9" i="10"/>
  <c r="D11" i="10"/>
  <c r="I5" i="12" s="1"/>
  <c r="D20" i="10"/>
  <c r="I8" i="12" s="1"/>
  <c r="D7" i="13"/>
  <c r="B7" i="8"/>
  <c r="D7" i="9"/>
  <c r="F7" i="9" s="1"/>
  <c r="H7" i="9" s="1"/>
  <c r="D9" i="13"/>
  <c r="B9" i="8"/>
  <c r="D9" i="9"/>
  <c r="F9" i="9" s="1"/>
  <c r="H9" i="9" s="1"/>
  <c r="L12" i="9"/>
  <c r="N12" i="9" s="1"/>
  <c r="L5" i="9"/>
  <c r="N5" i="9" s="1"/>
  <c r="K11" i="9"/>
  <c r="L11" i="9" s="1"/>
  <c r="N11" i="9" s="1"/>
  <c r="I11" i="8"/>
  <c r="X20" i="10"/>
  <c r="D14" i="9"/>
  <c r="F14" i="9" s="1"/>
  <c r="D15" i="13"/>
  <c r="H9" i="10"/>
  <c r="H18" i="10"/>
  <c r="Z18" i="11"/>
  <c r="K4" i="9"/>
  <c r="L4" i="9" s="1"/>
  <c r="N4" i="9" s="1"/>
  <c r="I5" i="8"/>
  <c r="K4" i="13"/>
  <c r="K14" i="9"/>
  <c r="L14" i="9" s="1"/>
  <c r="K15" i="13"/>
  <c r="E15" i="10"/>
  <c r="P6" i="8"/>
  <c r="L5" i="13"/>
  <c r="N5" i="13" s="1"/>
  <c r="C15" i="10" s="1"/>
  <c r="G15" i="13"/>
  <c r="F25" i="10" s="1"/>
  <c r="M14" i="9"/>
  <c r="M15" i="13"/>
  <c r="F26" i="10" s="1"/>
  <c r="G14" i="9"/>
  <c r="X11" i="10"/>
  <c r="H9" i="12"/>
  <c r="P12" i="8"/>
  <c r="E22" i="10"/>
  <c r="L12" i="13"/>
  <c r="N12" i="13" s="1"/>
  <c r="C22" i="10" s="1"/>
  <c r="K21" i="14"/>
  <c r="F28" i="13"/>
  <c r="C28" i="13"/>
  <c r="X12" i="10"/>
  <c r="O5" i="8"/>
  <c r="F4" i="13"/>
  <c r="H4" i="13" s="1"/>
  <c r="C5" i="10" s="1"/>
  <c r="E5" i="10"/>
  <c r="K9" i="9"/>
  <c r="L9" i="9" s="1"/>
  <c r="N9" i="9" s="1"/>
  <c r="K9" i="13"/>
  <c r="I9" i="8"/>
  <c r="D6" i="9"/>
  <c r="F6" i="9" s="1"/>
  <c r="H6" i="9" s="1"/>
  <c r="D6" i="13"/>
  <c r="E13" i="10"/>
  <c r="F12" i="13"/>
  <c r="H12" i="13" s="1"/>
  <c r="C13" i="10" s="1"/>
  <c r="O12" i="8"/>
  <c r="E17" i="11"/>
  <c r="Z17" i="11" s="1"/>
  <c r="W23" i="10"/>
  <c r="I14" i="9"/>
  <c r="I15" i="13"/>
  <c r="B25" i="13"/>
  <c r="D8" i="8"/>
  <c r="H20" i="10"/>
  <c r="H11" i="10"/>
  <c r="K10" i="9"/>
  <c r="L10" i="9" s="1"/>
  <c r="N10" i="9" s="1"/>
  <c r="K10" i="13"/>
  <c r="I10" i="8"/>
  <c r="D12" i="10"/>
  <c r="I6" i="12" s="1"/>
  <c r="D21" i="10"/>
  <c r="I9" i="12" s="1"/>
  <c r="W24" i="10"/>
  <c r="H5" i="10"/>
  <c r="H14" i="10"/>
  <c r="E7" i="11"/>
  <c r="Z7" i="11" s="1"/>
  <c r="D5" i="13"/>
  <c r="B6" i="8"/>
  <c r="D5" i="9"/>
  <c r="F5" i="9" s="1"/>
  <c r="H5" i="9" s="1"/>
  <c r="K6" i="13"/>
  <c r="K6" i="9"/>
  <c r="L6" i="9" s="1"/>
  <c r="N6" i="9" s="1"/>
  <c r="F8" i="13"/>
  <c r="H8" i="13" s="1"/>
  <c r="C9" i="10" s="1"/>
  <c r="B11" i="8"/>
  <c r="D11" i="9"/>
  <c r="F11" i="9" s="1"/>
  <c r="H11" i="9" s="1"/>
  <c r="D10" i="9"/>
  <c r="F10" i="9" s="1"/>
  <c r="H10" i="9" s="1"/>
  <c r="D10" i="13"/>
  <c r="B10" i="8"/>
  <c r="D11" i="13"/>
  <c r="G11" i="8"/>
  <c r="I8" i="8"/>
  <c r="K8" i="9"/>
  <c r="K7" i="9"/>
  <c r="L7" i="9" s="1"/>
  <c r="N7" i="9" s="1"/>
  <c r="K7" i="13"/>
  <c r="I7" i="8"/>
  <c r="X13" i="10"/>
  <c r="X22" i="10"/>
  <c r="W9" i="10" l="1"/>
  <c r="E9" i="11"/>
  <c r="Z9" i="11" s="1"/>
  <c r="H7" i="12"/>
  <c r="X7" i="12" s="1"/>
  <c r="W13" i="10"/>
  <c r="E5" i="11"/>
  <c r="Z5" i="11" s="1"/>
  <c r="W5" i="10"/>
  <c r="E12" i="10"/>
  <c r="C26" i="13"/>
  <c r="F11" i="13"/>
  <c r="H11" i="13" s="1"/>
  <c r="C12" i="10" s="1"/>
  <c r="O11" i="8"/>
  <c r="E16" i="10"/>
  <c r="W16" i="10" s="1"/>
  <c r="L6" i="13"/>
  <c r="N6" i="13" s="1"/>
  <c r="H10" i="12"/>
  <c r="X10" i="12" s="1"/>
  <c r="W22" i="10"/>
  <c r="E12" i="11"/>
  <c r="Z12" i="11" s="1"/>
  <c r="W15" i="10"/>
  <c r="O7" i="8"/>
  <c r="F7" i="13"/>
  <c r="H7" i="13" s="1"/>
  <c r="C8" i="10" s="1"/>
  <c r="C24" i="13"/>
  <c r="E8" i="10"/>
  <c r="D25" i="13"/>
  <c r="F8" i="9"/>
  <c r="H8" i="9" s="1"/>
  <c r="F6" i="13"/>
  <c r="H6" i="13" s="1"/>
  <c r="E7" i="10"/>
  <c r="W7" i="10" s="1"/>
  <c r="W21" i="10"/>
  <c r="L7" i="13"/>
  <c r="N7" i="13" s="1"/>
  <c r="C17" i="10" s="1"/>
  <c r="E17" i="10"/>
  <c r="F24" i="13"/>
  <c r="P7" i="8"/>
  <c r="L4" i="13"/>
  <c r="N4" i="13" s="1"/>
  <c r="C14" i="10" s="1"/>
  <c r="E14" i="10"/>
  <c r="P5" i="8"/>
  <c r="E20" i="10"/>
  <c r="L10" i="13"/>
  <c r="N10" i="13" s="1"/>
  <c r="C20" i="10" s="1"/>
  <c r="P10" i="8"/>
  <c r="F9" i="13"/>
  <c r="H9" i="13" s="1"/>
  <c r="C10" i="10" s="1"/>
  <c r="O9" i="8"/>
  <c r="E10" i="10"/>
  <c r="X9" i="12"/>
  <c r="F10" i="13"/>
  <c r="H10" i="13" s="1"/>
  <c r="C11" i="10" s="1"/>
  <c r="E11" i="10"/>
  <c r="O10" i="8"/>
  <c r="E6" i="10"/>
  <c r="O6" i="8"/>
  <c r="F5" i="13"/>
  <c r="H5" i="13" s="1"/>
  <c r="C6" i="10" s="1"/>
  <c r="L9" i="13"/>
  <c r="N9" i="13" s="1"/>
  <c r="C19" i="10" s="1"/>
  <c r="P9" i="8"/>
  <c r="E19" i="10"/>
  <c r="L15" i="13"/>
  <c r="N15" i="13" s="1"/>
  <c r="C26" i="10" s="1"/>
  <c r="E26" i="10"/>
  <c r="P14" i="8"/>
  <c r="F15" i="13"/>
  <c r="H15" i="13" s="1"/>
  <c r="C25" i="10" s="1"/>
  <c r="O14" i="8"/>
  <c r="E25" i="10"/>
  <c r="G25" i="13"/>
  <c r="L8" i="9"/>
  <c r="N8" i="9" s="1"/>
  <c r="G28" i="13"/>
  <c r="D28" i="13"/>
  <c r="N14" i="9"/>
  <c r="H14" i="9"/>
  <c r="W19" i="10" l="1"/>
  <c r="E16" i="11"/>
  <c r="Z16" i="11" s="1"/>
  <c r="W14" i="10"/>
  <c r="E11" i="11"/>
  <c r="Z11" i="11" s="1"/>
  <c r="H5" i="12"/>
  <c r="X5" i="12" s="1"/>
  <c r="W11" i="10"/>
  <c r="E6" i="11"/>
  <c r="Z6" i="11" s="1"/>
  <c r="W6" i="10"/>
  <c r="W25" i="10"/>
  <c r="E19" i="11"/>
  <c r="Z19" i="11" s="1"/>
  <c r="E10" i="11"/>
  <c r="Z10" i="11" s="1"/>
  <c r="W10" i="10"/>
  <c r="W20" i="10"/>
  <c r="H8" i="12"/>
  <c r="X8" i="12" s="1"/>
  <c r="E14" i="11"/>
  <c r="Z14" i="11" s="1"/>
  <c r="W17" i="10"/>
  <c r="E8" i="11"/>
  <c r="Z8" i="11" s="1"/>
  <c r="W8" i="10"/>
  <c r="E20" i="11"/>
  <c r="Z20" i="11" s="1"/>
  <c r="W26" i="10"/>
  <c r="H6" i="12"/>
  <c r="X6" i="12" s="1"/>
  <c r="W12" i="10"/>
</calcChain>
</file>

<file path=xl/sharedStrings.xml><?xml version="1.0" encoding="utf-8"?>
<sst xmlns="http://schemas.openxmlformats.org/spreadsheetml/2006/main" count="1122" uniqueCount="553">
  <si>
    <t>ERCOT CEM Technology-Cost Workbook — Conversion &amp; Annualization Assumptions</t>
  </si>
  <si>
    <t>Assumption</t>
  </si>
  <si>
    <t>Value</t>
  </si>
  <si>
    <t>Unit</t>
  </si>
  <si>
    <t>Use</t>
  </si>
  <si>
    <t>Editable?</t>
  </si>
  <si>
    <t>Source / note</t>
  </si>
  <si>
    <t>ERCOT LTSA nominal inflation</t>
  </si>
  <si>
    <t>%/yr</t>
  </si>
  <si>
    <t>Deflate ERCOT future nominal costs back to 2025$</t>
  </si>
  <si>
    <t>Yes</t>
  </si>
  <si>
    <t>ERCOT 2026 LTSA</t>
  </si>
  <si>
    <t>Real discount rate / WACC</t>
  </si>
  <si>
    <t>%</t>
  </si>
  <si>
    <t>Annualize CAPEX with a capital recovery factor</t>
  </si>
  <si>
    <t>Modeling default — change to your CEM convention</t>
  </si>
  <si>
    <t>Base dollar year</t>
  </si>
  <si>
    <t>year</t>
  </si>
  <si>
    <t>Common comparison dollar year</t>
  </si>
  <si>
    <t>User requested 2025$</t>
  </si>
  <si>
    <t>Dollar year</t>
  </si>
  <si>
    <t>CPI-U annual average</t>
  </si>
  <si>
    <t>2025$/source-$ factor</t>
  </si>
  <si>
    <t>Source URL</t>
  </si>
  <si>
    <t>https://www.bls.gov/regions/northeast/data/consumerpriceindex_us_table.htm</t>
  </si>
  <si>
    <t>Technology</t>
  </si>
  <si>
    <t>Economic life (yr)</t>
  </si>
  <si>
    <t>Note</t>
  </si>
  <si>
    <t>CC multi-shaft</t>
  </si>
  <si>
    <t>Editable CEM annualization assumption</t>
  </si>
  <si>
    <t>Advanced CT</t>
  </si>
  <si>
    <t>ICE</t>
  </si>
  <si>
    <t>SMR</t>
  </si>
  <si>
    <t>Wind</t>
  </si>
  <si>
    <t>Solar</t>
  </si>
  <si>
    <t>BESS 2h</t>
  </si>
  <si>
    <t>BESS 4h</t>
  </si>
  <si>
    <t>BESS 6h</t>
  </si>
  <si>
    <t>Diesel backup generator</t>
  </si>
  <si>
    <t>NREL backup-generator useful life; editable CEM annualization assumption</t>
  </si>
  <si>
    <t>Diesel peaker plant</t>
  </si>
  <si>
    <t>EIA utility-scale internal-combustion-engine operating life; editable CEM annualization assumption</t>
  </si>
  <si>
    <t>Conversion methodology</t>
  </si>
  <si>
    <t>2022/2023/2024 source-dollar values are converted to 2025$ using annual-average U.S. CPI-U ratios.</t>
  </si>
  <si>
    <t>ERCOT Capacity-Expansion Technology Cost Assumptions — 2030 / 2035</t>
  </si>
  <si>
    <t>Source</t>
  </si>
  <si>
    <t>Role in workbook</t>
  </si>
  <si>
    <t>Geography</t>
  </si>
  <si>
    <t>Dollar basis</t>
  </si>
  <si>
    <t>Projection status</t>
  </si>
  <si>
    <t>Why useful for ERCOT</t>
  </si>
  <si>
    <t>URL</t>
  </si>
  <si>
    <t>ERCOT 2026 LTSA — Current Trends</t>
  </si>
  <si>
    <t>Primary base CAPEX</t>
  </si>
  <si>
    <t>ERCOT</t>
  </si>
  <si>
    <t>Nominal future $; converted to 2025$</t>
  </si>
  <si>
    <t>2027–2041 annual series</t>
  </si>
  <si>
    <t>ERCOT's own CEM/planning assumptions</t>
  </si>
  <si>
    <t>https://www.ercot.com/files/docs/2025/12/15/2026-LTSA-Update-Current-Trends-Capacity-Expansion-Results.pdf</t>
  </si>
  <si>
    <t>EIA AEO2026 Electricity Market Module</t>
  </si>
  <si>
    <t>Regional cost/O&amp;M benchmark</t>
  </si>
  <si>
    <t>TRE = Texas</t>
  </si>
  <si>
    <t>2025$</t>
  </si>
  <si>
    <t>Initial/current new-build cost anchor</t>
  </si>
  <si>
    <t>Texas regional multipliers + updated gas turbine costs</t>
  </si>
  <si>
    <t>https://www.eia.gov/outlooks/aeo/assumptions/pdf/EMM_Assumptions.pdf</t>
  </si>
  <si>
    <t>NLR/NREL 2024b ATB v4</t>
  </si>
  <si>
    <t>Technology-learning sensitivity</t>
  </si>
  <si>
    <t>U.S. / resource classes</t>
  </si>
  <si>
    <t>2022$</t>
  </si>
  <si>
    <t>2030/2035 Advanced / Moderate / Conservative</t>
  </si>
  <si>
    <t>Transparent long-run technology learning cases</t>
  </si>
  <si>
    <t>https://data.openei.org/files/6006/2024_v4_Workbook_7-22-2026.xlsx</t>
  </si>
  <si>
    <t>NLR Utility-Scale Battery Storage 2025 Update</t>
  </si>
  <si>
    <t>Battery-specific sensitivity</t>
  </si>
  <si>
    <t>U.S.</t>
  </si>
  <si>
    <t>2024$</t>
  </si>
  <si>
    <t>Annual future projections</t>
  </si>
  <si>
    <t>More current storage learning than frozen 2024 ATB</t>
  </si>
  <si>
    <t>https://www.nlr.gov/docs/fy25osti/93281.pdf</t>
  </si>
  <si>
    <t>Berkeley Lab Land-Based Wind Market Report 2024</t>
  </si>
  <si>
    <t>Empirical calibration</t>
  </si>
  <si>
    <t>2023$</t>
  </si>
  <si>
    <t>Historical actual 2022–2023 projects</t>
  </si>
  <si>
    <t>Direct ERCOT observed project-cost benchmark</t>
  </si>
  <si>
    <t>https://emp.lbl.gov/sites/default/files/2024-08/Land-Based%20Wind%20Market%20Report_2024%20Edition.pdf</t>
  </si>
  <si>
    <t>Berkeley Lab Utility-Scale Solar 2025</t>
  </si>
  <si>
    <t>Historical actual 2024 projects</t>
  </si>
  <si>
    <t>Observed utility-scale PV benchmark; not ERCOT-specific</t>
  </si>
  <si>
    <t>https://emp.lbl.gov/publications/us-utility-scale-solar-2025-data</t>
  </si>
  <si>
    <t>BLS CPI-U</t>
  </si>
  <si>
    <t>Dollar-year conversion</t>
  </si>
  <si>
    <t>Index</t>
  </si>
  <si>
    <t>Historical</t>
  </si>
  <si>
    <t>Transparent conversion to 2025 dollars</t>
  </si>
  <si>
    <t>Lazard LCOE+ v18</t>
  </si>
  <si>
    <t>Underlying/secondary benchmark</t>
  </si>
  <si>
    <t>Varies</t>
  </si>
  <si>
    <t>Market benchmark</t>
  </si>
  <si>
    <t>Cited by ERCOT LTSA as an input source; not separately harmonized</t>
  </si>
  <si>
    <t>https://www.lazard.com/research-insights/levelized-cost-of-energyplus/</t>
  </si>
  <si>
    <t>Diesel technology review</t>
  </si>
  <si>
    <t>Backup-generator + utility-scale peaker benchmark</t>
  </si>
  <si>
    <t>U.S.; Texas-specific engineering benchmark for peaker</t>
  </si>
  <si>
    <t>Mixed source years normalized to 2025$</t>
  </si>
  <si>
    <t>Mature technology; flat-real-cost base assumption</t>
  </si>
  <si>
    <t>Separates standby backup generator from a grid-connected liquid-fuel peaker; detailed reconciliation is in Diesel_Review.</t>
  </si>
  <si>
    <t>https://www.eia.gov/analysis/studies/powerplants/capitalcost/pdf/capital_cost_AEO2020.pdf</t>
  </si>
  <si>
    <t>Recommended interpretation</t>
  </si>
  <si>
    <t>Base case</t>
  </si>
  <si>
    <t>Use the technology-specific hybrid in Recommended_CEM_Base: ERCOT LTSA for gas/ICE/SMR/solar and 2h/6h BESS; ATB Moderate Class 1 for wind; NLR 2025 Mid for 4h BESS; $800/kW backup diesel for standby use; and the EIA Texas utility-scale ICE benchmark for diesel peaker.</t>
  </si>
  <si>
    <t>Cross-check</t>
  </si>
  <si>
    <t>Use EIA TRE/Texas as a current regional anchor; do not relabel it as an explicit 2030/2035 forecast.</t>
  </si>
  <si>
    <t>Learning sensitivities</t>
  </si>
  <si>
    <t>Wind: ATB Advanced / Moderate with ERCOT LTSA as conservative planning benchmark. 4h BESS: NLR 2025 Low/Mid/High. SMR: ATB Advanced / ERCOT / ATB Conservative.</t>
  </si>
  <si>
    <t>Use LBNL actual wind/solar costs as a reality check, not as forward projections.</t>
  </si>
  <si>
    <t>Annualization</t>
  </si>
  <si>
    <t>Recommended_CEM_Base applies the editable real WACC/life and then adds FOM; HOPE_CostProfiles converts the recommended fixed cost to $/MW-yr.</t>
  </si>
  <si>
    <t>Workbook navigation</t>
  </si>
  <si>
    <t>Recommended_CEM_Base = preferred hybrid inputs; CEM_BaseCase = all-ERCOT-LTSA benchmark; HOPE_CostProfiles = HOPE-formatted recommended costs.</t>
  </si>
  <si>
    <t>HOPE model-input format references (from current GitHub project)</t>
  </si>
  <si>
    <t>HOPE candidate cost profile</t>
  </si>
  <si>
    <t>candidate_resource_costs_2035.csv</t>
  </si>
  <si>
    <t>Current HOPE project format</t>
  </si>
  <si>
    <t>Stores CAPEX/FOM/FCR plus final $/MW-yr and $/MWh</t>
  </si>
  <si>
    <t>Used by the case builder</t>
  </si>
  <si>
    <t>HOPE_CostProfiles follows this schema in columns A:U</t>
  </si>
  <si>
    <t>https://github.com/swang22/PJM_DC_health_study_project/blob/main/scenario_assumptions/candidate_resource_costs_2035.csv</t>
  </si>
  <si>
    <t>HOPE generation candidates</t>
  </si>
  <si>
    <t>gendata_candidate.csv</t>
  </si>
  <si>
    <t>Direct model input</t>
  </si>
  <si>
    <t>Project/zone/build limit + fixed/variable cost + reliability/emissions</t>
  </si>
  <si>
    <t>HOPE_GenCandidate follows the exact model columns in A:Y</t>
  </si>
  <si>
    <t>https://github.com/swang22/PJM_DC_health_study_project/blob/main/ModelCases/PJM_ICARUS21_GTEP_2035_Base_case/Data_PJM_ICARUS21_GTEP_2035_Base/gendata_candidate.csv</t>
  </si>
  <si>
    <t>HOPE storage candidates</t>
  </si>
  <si>
    <t>storagedata_candidate.csv</t>
  </si>
  <si>
    <t>Energy/power capacity + efficiency + fixed/variable cost + CC</t>
  </si>
  <si>
    <t>HOPE_StorageCandidate follows the exact model columns in A:V</t>
  </si>
  <si>
    <t>https://github.com/swang22/PJM_DC_health_study_project/blob/main/ModelCases/PJM_ICARUS21_GTEP_2035_Base_case/Data_PJM_ICARUS21_GTEP_2035_Base/storagedata_candidate.csv</t>
  </si>
  <si>
    <t>ERCOT 2026 LTSA — New Unit Capital Costs</t>
  </si>
  <si>
    <t>Source:</t>
  </si>
  <si>
    <t>Raw source values — nominal $/kW</t>
  </si>
  <si>
    <t>Year</t>
  </si>
  <si>
    <t>nominal $/kW</t>
  </si>
  <si>
    <t>Converted values — real 2025$/kW</t>
  </si>
  <si>
    <t>2025$/kW</t>
  </si>
  <si>
    <t>Notes</t>
  </si>
  <si>
    <t>ERCOT's source table is nominal $/kW; the 2025$ table uses ERCOT's 2.2% annual inflation assumption.</t>
  </si>
  <si>
    <t>These are the preferred ERCOT-specific base-case new-build CAPEX assumptions in this workbook.</t>
  </si>
  <si>
    <t>FOM/VOM are not supplied in this LTSA capital-cost table; see EIA and ATB sheets.</t>
  </si>
  <si>
    <t>EIA AEO2026 — New-Build Cost &amp; Performance Assumptions (TRE / Texas)</t>
  </si>
  <si>
    <t>First available year</t>
  </si>
  <si>
    <t>Size (MW)</t>
  </si>
  <si>
    <t>Lead time (yr)</t>
  </si>
  <si>
    <t>Base overnight cost (2025$/kW)</t>
  </si>
  <si>
    <t>Total overnight cost (2025$/kW)</t>
  </si>
  <si>
    <t>TRE regional overnight cost (2025$/kW)</t>
  </si>
  <si>
    <t>FOM (2025$/kW-yr)</t>
  </si>
  <si>
    <t>VOM (2025$/MWh)</t>
  </si>
  <si>
    <t>Heat rate / EIA convention (Btu/kWh)</t>
  </si>
  <si>
    <t>CC single-shaft</t>
  </si>
  <si>
    <t>TRE = Texas Reliability Entity</t>
  </si>
  <si>
    <t>Preferred EIA comparator for ERCOT CC</t>
  </si>
  <si>
    <t>CC with 95% CCS</t>
  </si>
  <si>
    <t>CT aeroderivative</t>
  </si>
  <si>
    <t>CT industrial frame</t>
  </si>
  <si>
    <t>Preferred EIA comparator for ERCOT CT</t>
  </si>
  <si>
    <t>Nuclear - large LWR</t>
  </si>
  <si>
    <t>Nuclear - SMR</t>
  </si>
  <si>
    <t>Battery storage - 4h Li-ion</t>
  </si>
  <si>
    <t>EIA defines battery storage as four-hour Li-ion</t>
  </si>
  <si>
    <t>Wind - onshore</t>
  </si>
  <si>
    <t>3,412 is EIA primary-energy heat-content convention, not a thermal efficiency</t>
  </si>
  <si>
    <t>Solar PV - tracking</t>
  </si>
  <si>
    <t>Costs/capacity expressed on an AC basis</t>
  </si>
  <si>
    <t>Solar PV + storage</t>
  </si>
  <si>
    <t>150 MW PV + 50 MW four-hour battery</t>
  </si>
  <si>
    <t>Interpretation</t>
  </si>
  <si>
    <t>TRE is EIA region 1, Texas Reliability Entity. Use the TRE cost as a regional cross-check, not as an explicit EIA 2030/2035 point.</t>
  </si>
  <si>
    <t>AEO2026 updated CC/CT inputs for recent turbine, materials, and labor tightness and applies regional/locality adjustments.</t>
  </si>
  <si>
    <t>EIA explicitly represents battery storage as a four-hour lithium-ion battery.</t>
  </si>
  <si>
    <t>NLR/NREL 2024b ATB v4 — 2030 / 2035 Cost Scenarios</t>
  </si>
  <si>
    <t>Source workbook:</t>
  </si>
  <si>
    <t>ATB detail</t>
  </si>
  <si>
    <t>Scenario</t>
  </si>
  <si>
    <t>CRP years</t>
  </si>
  <si>
    <t>CAPEX 2030 (2022$/kW)</t>
  </si>
  <si>
    <t>CAPEX 2035 (2022$/kW)</t>
  </si>
  <si>
    <t>FOM 2030 (2022$/kW-yr)</t>
  </si>
  <si>
    <t>FOM 2035 (2022$/kW-yr)</t>
  </si>
  <si>
    <t>VOM 2030 (2022$/MWh)</t>
  </si>
  <si>
    <t>VOM 2035 (2022$/MWh)</t>
  </si>
  <si>
    <t>CAPEX 2030 (2025$/kW)</t>
  </si>
  <si>
    <t>CAPEX 2035 (2025$/kW)</t>
  </si>
  <si>
    <t>FOM 2030 (2025$/kW-yr)</t>
  </si>
  <si>
    <t>FOM 2035 (2025$/kW-yr)</t>
  </si>
  <si>
    <t>VOM 2030 (2025$/MWh)</t>
  </si>
  <si>
    <t>VOM 2035 (2025$/MWh)</t>
  </si>
  <si>
    <t>CC F-frame</t>
  </si>
  <si>
    <t>NG 2-on-1 Combined Cycle (F-Frame)</t>
  </si>
  <si>
    <t>Advanced</t>
  </si>
  <si>
    <t>Moderate</t>
  </si>
  <si>
    <t>Conservative</t>
  </si>
  <si>
    <t>CT F-frame</t>
  </si>
  <si>
    <t>NG Combustion Turbine (F-Frame)</t>
  </si>
  <si>
    <t>Nuclear - Small</t>
  </si>
  <si>
    <t>Wind class 1</t>
  </si>
  <si>
    <t>Land-Based Wind - Class 1 - Technology 1</t>
  </si>
  <si>
    <t>Wind class 7</t>
  </si>
  <si>
    <t>Land-Based Wind - Class 7 - Technology 1</t>
  </si>
  <si>
    <t>Solar PV</t>
  </si>
  <si>
    <t>Utility PV - Class 1</t>
  </si>
  <si>
    <t>Utility-Scale Battery Storage - 2Hr</t>
  </si>
  <si>
    <t>*</t>
  </si>
  <si>
    <t>Utility-Scale Battery Storage - 4Hr</t>
  </si>
  <si>
    <t>Utility-Scale Battery Storage - 6Hr</t>
  </si>
  <si>
    <t>ATB 2024b monetary values are in 2022 dollars.</t>
  </si>
  <si>
    <t>The December 2025 2024b reference refresh did not change the underlying ATB data.</t>
  </si>
  <si>
    <t>Wind Classes 1 and 7 are both retained because the resource/site class choice can affect CAPEX and is relevant for ERCOT.</t>
  </si>
  <si>
    <t>NLR 2025 Utility-Scale Battery Cost Projection — 4-hour Li-ion</t>
  </si>
  <si>
    <t>Low (2024$/kWh)</t>
  </si>
  <si>
    <t>Mid (2024$/kWh)</t>
  </si>
  <si>
    <t>High (2024$/kWh)</t>
  </si>
  <si>
    <t>Low 4h (2024$/kW)</t>
  </si>
  <si>
    <t>Mid 4h (2024$/kW)</t>
  </si>
  <si>
    <t>High 4h (2024$/kW)</t>
  </si>
  <si>
    <t>Low 4h (2025$/kW)</t>
  </si>
  <si>
    <t>Mid 4h (2025$/kW)</t>
  </si>
  <si>
    <t>High 4h (2025$/kW)</t>
  </si>
  <si>
    <t>The report states that $/kWh can be converted to $/kW by multiplying by storage duration; this sheet uses four hours.</t>
  </si>
  <si>
    <t>Use this newer series as a battery-specific sensitivity to the older ATB trajectory.</t>
  </si>
  <si>
    <t>Berkeley Lab — Empirical Installed-Cost Benchmarks (Calibration Only)</t>
  </si>
  <si>
    <t>Region</t>
  </si>
  <si>
    <t>Project/COD year(s)</t>
  </si>
  <si>
    <t>Raw installed cost</t>
  </si>
  <si>
    <t>Raw unit / dollar year</t>
  </si>
  <si>
    <t>2025$/kW equivalent</t>
  </si>
  <si>
    <t>Use in ERCOT CEM</t>
  </si>
  <si>
    <t>Land-based wind</t>
  </si>
  <si>
    <t>2022–2023</t>
  </si>
  <si>
    <t>2023$/kW</t>
  </si>
  <si>
    <t>Strong empirical ERCOT calibration</t>
  </si>
  <si>
    <t>Capacity-weighted regional mean; historical, not a forward forecast</t>
  </si>
  <si>
    <t>Utility-scale solar PV</t>
  </si>
  <si>
    <t>2024</t>
  </si>
  <si>
    <t>2024$/kW-AC</t>
  </si>
  <si>
    <t>National empirical calibration</t>
  </si>
  <si>
    <t>Capacity-weighted mean; preliminary 2024 sample; not ERCOT-specific</t>
  </si>
  <si>
    <t>Important</t>
  </si>
  <si>
    <t>These are observed installed-cost benchmarks. Do not treat them as 2030/2035 projections.</t>
  </si>
  <si>
    <t>The ERCOT wind value is especially useful for diagnosing whether a future wind CAPEX path is too conservative.</t>
  </si>
  <si>
    <t>Harmonized CAPEX Comparison — All Values in Real 2025$/kW</t>
  </si>
  <si>
    <t>ERCOT LTSA 2030</t>
  </si>
  <si>
    <t>ATB Moderate 2030</t>
  </si>
  <si>
    <t>ATB Advanced 2030</t>
  </si>
  <si>
    <t>ATB Conservative 2030</t>
  </si>
  <si>
    <t>EIA TRE current anchor</t>
  </si>
  <si>
    <t>NLR BESS Mid 2030</t>
  </si>
  <si>
    <t>LBNL empirical anchor</t>
  </si>
  <si>
    <t>ERCOT LTSA 2035</t>
  </si>
  <si>
    <t>ATB Moderate 2035</t>
  </si>
  <si>
    <t>ATB Advanced 2035</t>
  </si>
  <si>
    <t>ATB Conservative 2035</t>
  </si>
  <si>
    <t>NLR BESS Mid 2035</t>
  </si>
  <si>
    <t>Recommended Base 2030</t>
  </si>
  <si>
    <t>Recommended Base 2035</t>
  </si>
  <si>
    <t>Recommended Base Source</t>
  </si>
  <si>
    <t>Recommended base = ERCOT LTSA; EIA is a lower current regional anchor.</t>
  </si>
  <si>
    <t>Recommended base = ERCOT LTSA; compare with EIA industrial-frame CT.</t>
  </si>
  <si>
    <t>Recommended central = ERCOT LTSA; retain wide ATB low/high sensitivity.</t>
  </si>
  <si>
    <t>Recommended base = ATB Moderate Class 1; ERCOT LTSA = conservative/high planning benchmark.</t>
  </si>
  <si>
    <t>Recommended base = ERCOT LTSA; source disagreement is comparatively modest.</t>
  </si>
  <si>
    <t>Recommended base = ERCOT LTSA; alternate duration, while 4h remains the preferred core storage case.</t>
  </si>
  <si>
    <t>Recommended base = NLR 2025 Mid; use NLR Low/High as the primary battery sensitivities.</t>
  </si>
  <si>
    <t>Standby/resilience generator; lower CAPEX but not intended as the utility-scale peaker representation.</t>
  </si>
  <si>
    <t>Backup-generator synthesis (NREL / EDF / BofA / MIT)</t>
  </si>
  <si>
    <t>Grid-connected peaker; EIA Texas engineering benchmark used as central CAPEX with current petroleum-liquid construction costs as a lower empirical check.</t>
  </si>
  <si>
    <t>EIA/S&amp;L Texas 20-MW ICE engineering benchmark</t>
  </si>
  <si>
    <t>How to read this table</t>
  </si>
  <si>
    <t>The recommended base is technology-specific; see columns O:Q and Recommended_CEM_Base. ERCOT LTSA is not treated as the central source for every technology.</t>
  </si>
  <si>
    <t>EIA TRE is a current regional anchor, not an explicit 2030/2035 forecast. LBNL is an empirical historical calibration.</t>
  </si>
  <si>
    <t>Diesel backup and diesel peaker are intentionally separate because their installed-system scope and use case differ materially.</t>
  </si>
  <si>
    <t>ERCOT LTSA Benchmark + External Diesel Assumptions — 2030 / 2035 (Real 2025$)</t>
  </si>
  <si>
    <t>Benchmark tab: ERCOT LTSA CAPEX is used for technologies covered by LTSA. Diesel is shown separately as (1) backup generator and (2) utility-scale peaker because LTSA does not provide diesel-specific series.</t>
  </si>
  <si>
    <t>Real WACC</t>
  </si>
  <si>
    <t>2030 CAPEX (2025$/kW)</t>
  </si>
  <si>
    <t>CRF</t>
  </si>
  <si>
    <t>2030 annualized CAPEX (2025$/kW-yr)</t>
  </si>
  <si>
    <t>2030 FOM (2025$/kW-yr)</t>
  </si>
  <si>
    <t>2030 total fixed (2025$/kW-yr)</t>
  </si>
  <si>
    <t>Heat rate (Btu/kWh)</t>
  </si>
  <si>
    <t>2035 CAPEX (2025$/kW)</t>
  </si>
  <si>
    <t>2035 annualized CAPEX (2025$/kW-yr)</t>
  </si>
  <si>
    <t>2035 FOM (2025$/kW-yr)</t>
  </si>
  <si>
    <t>2035 total fixed (2025$/kW-yr)</t>
  </si>
  <si>
    <t>CAPEX source</t>
  </si>
  <si>
    <t>O&amp;M source</t>
  </si>
  <si>
    <t>Modeling note</t>
  </si>
  <si>
    <t>EIA AEO2026; held constant in real 2025$ unless changed</t>
  </si>
  <si>
    <t>Base CAPEX = ERCOT LTSA; O&amp;M/performance = EIA multi-shaft CC.</t>
  </si>
  <si>
    <t>Base CAPEX = ERCOT LTSA; O&amp;M/performance = EIA industrial-frame CT.</t>
  </si>
  <si>
    <t>Not populated — add engine-specific O&amp;M/performance source</t>
  </si>
  <si>
    <t>ERCOT CAPEX is available, but O&amp;M/heat rate should come from the engine technology selected in the model.</t>
  </si>
  <si>
    <t>Large uncertainty; retain ATB Advanced/Moderate/Conservative sensitivities.</t>
  </si>
  <si>
    <t>Use ERCOT LTSA base, but compare with ATB and LBNL ERCOT actual costs.</t>
  </si>
  <si>
    <t>Use ERCOT LTSA base; EIA/LBNL provide useful current-cost checks.</t>
  </si>
  <si>
    <t>NLR/NREL ATB Moderate duration-specific O&amp;M</t>
  </si>
  <si>
    <t>ERCOT LTSA CAPEX + ATB Moderate duration-specific FOM/VOM.</t>
  </si>
  <si>
    <t>ERCOT LTSA CAPEX + ATB Moderate O&amp;M; newer NLR battery series is a key sensitivity.</t>
  </si>
  <si>
    <t>Backup-generator synthesis (not ERCOT LTSA)</t>
  </si>
  <si>
    <t>EDF 2024 / diesel review</t>
  </si>
  <si>
    <t>Standby/resilience case; not the utility-scale peaker assumption.</t>
  </si>
  <si>
    <t>EIA/S&amp;L Texas utility-scale ICE benchmark</t>
  </si>
  <si>
    <t>EIA/S&amp;L engine-plant O&amp;M proxy</t>
  </si>
  <si>
    <t>Grid-connected liquid-fuel peaker; separate from backup generator.</t>
  </si>
  <si>
    <t>Annualization method</t>
  </si>
  <si>
    <t>CRF = r(1+r)^n / [(1+r)^n - 1]. Annualized CAPEX = real-2025$ CAPEX × CRF. Total fixed = annualized CAPEX + FOM.</t>
  </si>
  <si>
    <t>The 7% real WACC and economic lives are editable assumptions on the Assumptions sheet; they are not source facts.</t>
  </si>
  <si>
    <t>HOPE-Compatible ERCOT Candidate Cost Profiles — Recommended Hybrid Base</t>
  </si>
  <si>
    <t>Columns A:U follow the current HOPE candidate_resource_costs_2035.csv schema. Fixed costs now link to Recommended_CEM_Base (technology-specific source selection). Thermal/nuclear fuel-price cells remain editable because fuel price is separate from capital-cost selection.</t>
  </si>
  <si>
    <t>Type</t>
  </si>
  <si>
    <t>ApplyToExistingCandidates</t>
  </si>
  <si>
    <t>CostDollarPerMWYr</t>
  </si>
  <si>
    <t>CostDollarPerMWh</t>
  </si>
  <si>
    <t>CapexDollarPerKW</t>
  </si>
  <si>
    <t>FixedOMDollarPerKWYr</t>
  </si>
  <si>
    <t>RealDiscountRate</t>
  </si>
  <si>
    <t>FixedChargeRate</t>
  </si>
  <si>
    <t>EconomicLifeYears</t>
  </si>
  <si>
    <t>ProjectionYear</t>
  </si>
  <si>
    <t>ATBDollarYear</t>
  </si>
  <si>
    <t>TargetDollarYear</t>
  </si>
  <si>
    <t>CPIConversionFactor</t>
  </si>
  <si>
    <t>ATBTechnology</t>
  </si>
  <si>
    <t>ATBTechDetail</t>
  </si>
  <si>
    <t>ATBScenario</t>
  </si>
  <si>
    <t>ATBFinancialCase</t>
  </si>
  <si>
    <t>FuelPriceDollarPerMMBtu</t>
  </si>
  <si>
    <t>HeatRateMMBtuPerMWh</t>
  </si>
  <si>
    <t>SourceURL</t>
  </si>
  <si>
    <t>SourceNote</t>
  </si>
  <si>
    <t>DurationHours [helper]</t>
  </si>
  <si>
    <t>ReadyForDirectHOPE [helper]</t>
  </si>
  <si>
    <t>VariableCostStatus [helper]</t>
  </si>
  <si>
    <t>NGCC</t>
  </si>
  <si>
    <t>Recommended hybrid</t>
  </si>
  <si>
    <t>Technology-specific base</t>
  </si>
  <si>
    <t>7% real CRF</t>
  </si>
  <si>
    <t>Linked to Recommended_CEM_Base. CAPEX source = ERCOT LTSA. Enter fuel price in column R before direct run; variable cost = VOM + fuel × heat rate.</t>
  </si>
  <si>
    <t>NGCT</t>
  </si>
  <si>
    <t>NuC</t>
  </si>
  <si>
    <t>Linked to Recommended_CEM_Base. CAPEX source = ERCOT LTSA central + ATB sensitivity. Enter fuel price in column R before direct run; variable cost = VOM + fuel × heat rate.</t>
  </si>
  <si>
    <t>WindOn</t>
  </si>
  <si>
    <t>Linked to Recommended_CEM_Base. CAPEX source = ATB Moderate Wind Class 1. Variable cost uses the recommended-sheet VOM.</t>
  </si>
  <si>
    <t>SolarPV</t>
  </si>
  <si>
    <t>Linked to Recommended_CEM_Base. CAPEX source = ERCOT LTSA. Variable cost uses the recommended-sheet VOM.</t>
  </si>
  <si>
    <t>Battery</t>
  </si>
  <si>
    <t>Battery_2h</t>
  </si>
  <si>
    <t>Linked to Recommended_CEM_Base. CAPEX source = ERCOT LTSA. Variable cost uses the recommended-sheet VOM. Current HOPE generic storage setup uses 4-hour storage.</t>
  </si>
  <si>
    <t>Battery_4h</t>
  </si>
  <si>
    <t>Linked to Recommended_CEM_Base. CAPEX source = NLR 2025 Mid. Variable cost uses the recommended-sheet VOM.</t>
  </si>
  <si>
    <t>Battery_6h</t>
  </si>
  <si>
    <t>DieselBackup</t>
  </si>
  <si>
    <t>Backup-generator synthesis</t>
  </si>
  <si>
    <t>https://www.nrel.gov/docs/fy19osti/72509.pdf</t>
  </si>
  <si>
    <t>Standby/resilience diesel generator. Linked to Recommended_CEM_Base backup row. Enter diesel fuel price ($/MMBtu) in column R before direct run.</t>
  </si>
  <si>
    <t>DieselPeaker</t>
  </si>
  <si>
    <t>EIA Texas utility-scale ICE</t>
  </si>
  <si>
    <t>Grid-connected diesel peaker. Linked to Recommended_CEM_Base peaker row. CAPEX uses EIA/S&amp;L Texas 20-MW ICE benchmark; enter diesel fuel price ($/MMBtu) in column R before direct run.</t>
  </si>
  <si>
    <t>HOPE input interpretation</t>
  </si>
  <si>
    <t>Current HOPE reference</t>
  </si>
  <si>
    <t>candidate_resource_costs_2035.csv converts CAPEX/FOM/FCR into CostDollarPerMWYr and passes CostDollarPerMWh directly into candidate data.</t>
  </si>
  <si>
    <t>ERCOT fixed cost</t>
  </si>
  <si>
    <t>This sheet is already model-formatted: CostDollarPerMWYr = (annualized CAPEX + FOM) × 1000, in $/MW-yr.</t>
  </si>
  <si>
    <t>Thermal variable cost</t>
  </si>
  <si>
    <t>Fuel is intentionally not hard-wired. Enter $/MMBtu in column R; column D computes VOM + fuel price × heat rate. DieselBackup and DieselPeaker use separate fixed-cost profiles but can share the same diesel-fuel-price scenario.</t>
  </si>
  <si>
    <t>Battery duration</t>
  </si>
  <si>
    <t>The current HOPE case uses 4-hour generic storage. 2h/6h rows are preserved as alternative ERCOT profiles and require duration-aware candidate rows.</t>
  </si>
  <si>
    <t>HOPE gendata_candidate.csv Template — ERCOT 2030 / 2035</t>
  </si>
  <si>
    <t>Columns A:Y exactly follow the current HOPE gendata_candidate.csv schema. Cost columns are linked to HOPE_CostProfiles. Yellow cells/blank fields are case-specific inputs still needed before direct execution.</t>
  </si>
  <si>
    <t>ProjectID</t>
  </si>
  <si>
    <t>Zone</t>
  </si>
  <si>
    <t>Pmax (MW)</t>
  </si>
  <si>
    <t>Pmin (MW)</t>
  </si>
  <si>
    <t>Cost ($/MW/yr)</t>
  </si>
  <si>
    <t>Cost ($/MWh)</t>
  </si>
  <si>
    <t>Flag_thermal</t>
  </si>
  <si>
    <t>Flag_VRE</t>
  </si>
  <si>
    <t>Flag_mustrun</t>
  </si>
  <si>
    <t>EF</t>
  </si>
  <si>
    <t>CC</t>
  </si>
  <si>
    <t>AF</t>
  </si>
  <si>
    <t>FOR</t>
  </si>
  <si>
    <t>Flag_RPS</t>
  </si>
  <si>
    <t>CO2_ton_MWh</t>
  </si>
  <si>
    <t>SO2_lb_MWh</t>
  </si>
  <si>
    <t>SO2_ton_MWh</t>
  </si>
  <si>
    <t>NOx_lb_MWh</t>
  </si>
  <si>
    <t>NOx_ton_MWh</t>
  </si>
  <si>
    <t>HeatInput_MMBtu_MWh</t>
  </si>
  <si>
    <t>EmissionFactorBasis</t>
  </si>
  <si>
    <t>QueueStatus</t>
  </si>
  <si>
    <t>InServiceYear</t>
  </si>
  <si>
    <t>FuelPrimary</t>
  </si>
  <si>
    <t>RemainingInputs [helper]</t>
  </si>
  <si>
    <t>CostProfileRow [helper]</t>
  </si>
  <si>
    <t>ERCOT_NGCC_2030_GENERIC</t>
  </si>
  <si>
    <t>TBD_ERCOT_emission_factors</t>
  </si>
  <si>
    <t>Generic ERCOT cost template; replace Zone/Pmax/reliability fields with case data</t>
  </si>
  <si>
    <t>Natural Gas</t>
  </si>
  <si>
    <t>Set Zone, Pmax, CC, AF/profile, FOR; thermal rows also need fuel price and emissions.</t>
  </si>
  <si>
    <t>ERCOT_NGCT_2030_GENERIC</t>
  </si>
  <si>
    <t>ERCOT_ICE_2030_GENERIC</t>
  </si>
  <si>
    <t>ERCOT_NuC_2030_GENERIC</t>
  </si>
  <si>
    <t>zero_direct_operational_emissions</t>
  </si>
  <si>
    <t>Nuclear</t>
  </si>
  <si>
    <t>Set Zone, Pmax, CC, FOR; confirm nuclear variable cost/fuel treatment.</t>
  </si>
  <si>
    <t>ERCOT_WindOn_2030_GENERIC</t>
  </si>
  <si>
    <t>Set Zone, Pmax, CC, AF/profile, FOR.</t>
  </si>
  <si>
    <t>ERCOT_SolarPV_2030_GENERIC</t>
  </si>
  <si>
    <t>ERCOT_NGCC_2035_GENERIC</t>
  </si>
  <si>
    <t>ERCOT_NGCT_2035_GENERIC</t>
  </si>
  <si>
    <t>ERCOT_ICE_2035_GENERIC</t>
  </si>
  <si>
    <t>ERCOT_NuC_2035_GENERIC</t>
  </si>
  <si>
    <t>ERCOT_WindOn_2035_GENERIC</t>
  </si>
  <si>
    <t>ERCOT_SolarPV_2035_GENERIC</t>
  </si>
  <si>
    <t>ERCOT_DIESEL_BACKUP_2030_GENERIC</t>
  </si>
  <si>
    <t>EIA distillate CO2 factor; standby diesel; SO2/NOx TBD by selected genset/emissions controls</t>
  </si>
  <si>
    <t>Generic ERCOT backup-diesel template; intended for standby/resilience use</t>
  </si>
  <si>
    <t>Diesel</t>
  </si>
  <si>
    <t>Set Zone, Pmax, CC, FOR and diesel fuel price; backup generator is distinct from utility-scale peaker.</t>
  </si>
  <si>
    <t>ERCOT_DIESEL_BACKUP_2035_GENERIC</t>
  </si>
  <si>
    <t>ERCOT_DIESEL_PEAKER_2030_GENERIC</t>
  </si>
  <si>
    <t>EIA distillate CO2 factor; utility-scale peaker; SO2/NOx TBD by engine/emissions-control configuration</t>
  </si>
  <si>
    <t>Generic ERCOT utility-scale diesel peaker template; cost basis from EIA/S&amp;L Texas 20-MW ICE benchmark</t>
  </si>
  <si>
    <t>Set Zone, Pmax, CC, FOR and diesel fuel price; confirm SO2/NOx factors for selected peaker configuration.</t>
  </si>
  <si>
    <t>ERCOT_DIESEL_PEAKER_2035_GENERIC</t>
  </si>
  <si>
    <t>HOPE storagedata_candidate.csv Template — ERCOT Battery Candidates</t>
  </si>
  <si>
    <t>Columns A:V exactly follow the current HOPE storagedata_candidate.csv schema. Enter Zone and Max Power; Capacity (MWh) will calculate automatically from the helper duration.</t>
  </si>
  <si>
    <t>Capacity (MWh)</t>
  </si>
  <si>
    <t>Max Power (MW)</t>
  </si>
  <si>
    <t>Charging efficiency</t>
  </si>
  <si>
    <t>Discharging efficiency</t>
  </si>
  <si>
    <t>Charging Rate</t>
  </si>
  <si>
    <t>Discharging Rate</t>
  </si>
  <si>
    <t>ERCOT_BATTERY_2H_2030_GENERIC</t>
  </si>
  <si>
    <t>generic_storage_zero_direct_emissions</t>
  </si>
  <si>
    <t>Generic ERCOT storage cost template</t>
  </si>
  <si>
    <t>Set Zone, Max Power/build limit, and ERCOT capacity credit (CC).</t>
  </si>
  <si>
    <t>ERCOT_BATTERY_4H_2030_GENERIC</t>
  </si>
  <si>
    <t>ERCOT_BATTERY_6H_2030_GENERIC</t>
  </si>
  <si>
    <t>ERCOT_BATTERY_2H_2035_GENERIC</t>
  </si>
  <si>
    <t>ERCOT_BATTERY_4H_2035_GENERIC</t>
  </si>
  <si>
    <t>ERCOT_BATTERY_6H_2035_GENERIC</t>
  </si>
  <si>
    <t>Recommended ERCOT CEM Base — Technology-Specific Sources (Real 2025$)</t>
  </si>
  <si>
    <t>Recommended hybrid base: ERCOT LTSA for gas / ICE / SMR / solar and 2h/6h storage; ATB Moderate Class 1 for wind; NLR 2025 Mid for 4-hour battery CAPEX; plus two separate diesel applications: backup generator and utility-scale peaker plant.</t>
  </si>
  <si>
    <t>Recommended base = ERCOT LTSA CAPEX; EIA TRE is a lower current regional anchor, not a 2030/2035 forecast.</t>
  </si>
  <si>
    <t>Recommended base = ERCOT LTSA CAPEX; EIA industrial-frame CT provides the current Texas regional anchor.</t>
  </si>
  <si>
    <t>ICE = reciprocating internal-combustion engine. Keep optional unless flexible engine capacity is explicitly represented; engine-specific O&amp;M/heat rate still needed.</t>
  </si>
  <si>
    <t>Recommended central SMR CAPEX = ERCOT LTSA, but cost uncertainty is very large; retain ATB Advanced and Conservative cases as explicit low/high sensitivities.</t>
  </si>
  <si>
    <t>NLR/NREL ATB 2024b Moderate — Wind Class 1</t>
  </si>
  <si>
    <t>NLR/NREL ATB 2024b Moderate</t>
  </si>
  <si>
    <t>Recommended base uses ATB Moderate Class 1 because ERCOT LTSA wind CAPEX is materially above ATB and recent ERCOT LBNL actuals; ERCOT LTSA is retained as a conservative/high benchmark.</t>
  </si>
  <si>
    <t>Recommended base = ERCOT LTSA solar CAPEX; ATB/EIA are relatively close and remain useful sensitivities/checks.</t>
  </si>
  <si>
    <t>2-hour BESS remains an alternate-duration option; recommended CAPEX = ERCOT LTSA because the newer NLR 2025 projection is specifically used here for 4-hour storage.</t>
  </si>
  <si>
    <t>NLR 2025 Utility-Scale Battery Storage — Mid</t>
  </si>
  <si>
    <t>NLR/NREL ATB 2024b Moderate duration-specific O&amp;M</t>
  </si>
  <si>
    <t>Recommended 4-hour BESS CAPEX uses the newer NLR 2025 Mid trajectory; use NLR Low/High as the preferred battery cost sensitivities.</t>
  </si>
  <si>
    <t>6-hour BESS remains an alternate-duration option; recommended CAPEX = ERCOT LTSA because the newer NLR 2025 projection is specifically used here for 4-hour storage.</t>
  </si>
  <si>
    <t>EDF 2024 non-fuel annual operating-cost benchmark</t>
  </si>
  <si>
    <t>Standby/resilience generator. Recommended CAPEX is $800/kW in real 2025$ for both 2030 and 2035; do not use this row as the utility-scale peaker assumption.</t>
  </si>
  <si>
    <t>EIA/S&amp;L AEO2020 Texas 20-MW ICE plant</t>
  </si>
  <si>
    <t>Utility-scale/grid-connected peaker. CAPEX = EIA Texas-Houston location-adjusted 20-MW internal-combustion-engine benchmark converted to 2025$. Kept separate from the $800/kW backup-generator case.</t>
  </si>
  <si>
    <t>For direct CEM import, the 2030 columns D/F/G/H/I/J and 2035 columns K/L/M/N are the main outputs.</t>
  </si>
  <si>
    <t>Recommended CAPEX Sensitivity Anchors — Real 2025$/kW</t>
  </si>
  <si>
    <t>2030 Low</t>
  </si>
  <si>
    <t>2030 Base</t>
  </si>
  <si>
    <t>2030 High</t>
  </si>
  <si>
    <t>2035 Low</t>
  </si>
  <si>
    <t>2035 Base</t>
  </si>
  <si>
    <t>2035 High</t>
  </si>
  <si>
    <t>Guidance</t>
  </si>
  <si>
    <t>Low = ATB Advanced; Base = ERCOT LTSA; High = ATB Conservative. Treat as a wide scenario range, not a tight confidence interval.</t>
  </si>
  <si>
    <t>Low = ATB Advanced Class 1; Base = ATB Moderate Class 1; High = ERCOT LTSA planning assumption. LBNL ERCOT actual cost remains an empirical calibration.</t>
  </si>
  <si>
    <t>Low/Base/High = NLR 2025 Low/Mid/High trajectories; this is the preferred storage cost sensitivity family.</t>
  </si>
  <si>
    <t>Low/Base/High = $600/$800/$1,000 per kW in real 2025$ for a standby/resilience generator; held flat in real terms.</t>
  </si>
  <si>
    <t>Low = EIA 2024 observed petroleum-liquids cost; Base = EIA Texas 20-MW ICE engineering benchmark; High = 25% stress case above base. Held flat in real terms.</t>
  </si>
  <si>
    <t>Diesel Technology Cost Review — Backup Generator vs. Utility-Scale Peaker</t>
  </si>
  <si>
    <t>Diesel is split into two applications: a smaller standby/backup generator and a grid-connected utility-scale peaker plant. Both are separate from ERCOT's natural-gas ICE category. Mature-technology CAPEX is held constant in real 2025 dollars for 2030 and 2035.</t>
  </si>
  <si>
    <t>Context</t>
  </si>
  <si>
    <t>Raw dollar year</t>
  </si>
  <si>
    <t>Raw CAPEX low ($/kW)</t>
  </si>
  <si>
    <t>Raw CAPEX high ($/kW)</t>
  </si>
  <si>
    <t>Raw FOM ($/kW-yr)</t>
  </si>
  <si>
    <t>Raw maintenance / other</t>
  </si>
  <si>
    <t>Lifetime (yr)</t>
  </si>
  <si>
    <t>CPI factor to 2025$</t>
  </si>
  <si>
    <t>2025$ CAPEX low</t>
  </si>
  <si>
    <t>2025$ CAPEX high</t>
  </si>
  <si>
    <t>2025$ FOM</t>
  </si>
  <si>
    <t>Use / interpretation</t>
  </si>
  <si>
    <t>MIT Future of Energy Storage (2022)</t>
  </si>
  <si>
    <t>Reference diesel generator in capacity-expansion/resilience analysis</t>
  </si>
  <si>
    <t>Useful lower-CAPEX cross-check; MIT keeps diesel CAPEX flat in real 2018$ through 2030.</t>
  </si>
  <si>
    <t>https://energy.mit.edu/wp-content/uploads/2022/05/The-Future-of-Energy-Storage.pdf</t>
  </si>
  <si>
    <t>NREL backup generator study (2019)</t>
  </si>
  <si>
    <t>500-kW diesel standby generator</t>
  </si>
  <si>
    <t>$405/kW life-cycle non-fuel maintenance</t>
  </si>
  <si>
    <t>Primary lifetime/capital-cost benchmark. Dollar year is not explicit; 2019 report year is used only for normalization.</t>
  </si>
  <si>
    <t>EDF Power Resiliency (2024)</t>
  </si>
  <si>
    <t>Example average backup power system cost</t>
  </si>
  <si>
    <t>Contemporary synthesis: $800/kW upfront and $35/kW-yr non-fuel annual operating cost.</t>
  </si>
  <si>
    <t>https://www.edf.org/sites/default/files/2024-04/Power-Resiliency-Electric-Fleets.pdf</t>
  </si>
  <si>
    <t>BofA data-center generator review (2024)</t>
  </si>
  <si>
    <t>Large data-center diesel backup system</t>
  </si>
  <si>
    <t>$300-450/kW genset + $300-450/kW tank/pump/installation</t>
  </si>
  <si>
    <t>Current installed-cost market check; supports roughly $600-900/kW total system cost.</t>
  </si>
  <si>
    <t>https://d28lcup14p4e72.cloudfront.net/273862/8991641/BofA%20-%20Who%20Makes%20the%20Data%20Center.pdf</t>
  </si>
  <si>
    <t>EIA generator construction costs (2024)</t>
  </si>
  <si>
    <t>Observed petroleum-liquids generators installed in 2024; small national sample</t>
  </si>
  <si>
    <t>Capacity-weighted average; 33 MW total petroleum-liquids additions in reported sample</t>
  </si>
  <si>
    <t>Current empirical lower-cost check for grid-scale liquid-fuel generation; sample is small and not ERCOT-specific.</t>
  </si>
  <si>
    <t>https://www.eia.gov/electricity/generatorcosts/</t>
  </si>
  <si>
    <t>EIA / Sargent &amp; Lundy AEO2020 capital-cost study</t>
  </si>
  <si>
    <t>20-MW internal-combustion-engine plant; location-adjustment table explicitly covers natural gas or oil-fired diesel; Texas Houston</t>
  </si>
  <si>
    <t>VOM = $5.69/MWh (2019$); operating life = 30 yr. Detailed Case 4 gas-engine heat rate = 8.295 MMBtu/MWh.</t>
  </si>
  <si>
    <t>Primary grid-scale peaker CAPEX benchmark for Texas. Non-fuel O&amp;M is used as an engine-plant proxy; diesel heat rate remains separately assumed at 9.5 MMBtu/MWh.</t>
  </si>
  <si>
    <t>CPI year</t>
  </si>
  <si>
    <t>Annual CPI-U</t>
  </si>
  <si>
    <t>Recommended diesel assumption for ERCOT CEM</t>
  </si>
  <si>
    <t>VOM excl. fuel (2025$/MWh)</t>
  </si>
  <si>
    <t>Heat rate (MMBtu/MWh)</t>
  </si>
  <si>
    <t>Low CAPEX</t>
  </si>
  <si>
    <t>Base CAPEX</t>
  </si>
  <si>
    <t>High CAPEX</t>
  </si>
  <si>
    <t>Real-cost trajectory</t>
  </si>
  <si>
    <t>Fuel treatment</t>
  </si>
  <si>
    <t>Rationale</t>
  </si>
  <si>
    <t>Flat in real 2025$ through 2035</t>
  </si>
  <si>
    <t>Fuel price kept separate and editable in HOPE; variable cost = fuel price × heat rate + VOM.</t>
  </si>
  <si>
    <t>Backup/standby case. Base is a rounded synthesis of NREL/EDF and current data-center installed-cost evidence; intended for resilience/standby use rather than a utility-scale peaker plant.</t>
  </si>
  <si>
    <t>Grid-connected peaker case. Base CAPEX uses the EIA/S&amp;L Texas-Houston 20-MW ICE location benchmark converted from 2019$ to 2025$. FOM/VOM use the same EIA engine-plant non-fuel O&amp;M as a proxy; diesel heat rate is kept at 9.5 MMBtu/MWh.</t>
  </si>
  <si>
    <t>Performance and emissions cross-check</t>
  </si>
  <si>
    <t>Heat rate</t>
  </si>
  <si>
    <t>MMBtu/MWh</t>
  </si>
  <si>
    <t>Rounded from a 1.25-MW data-center diesel example consuming ~86 gal/h; close to the ~10 MMBtu/MWh conventional diesel-engine benchmark.</t>
  </si>
  <si>
    <t>CO2 factor</t>
  </si>
  <si>
    <t>lb CO2/MMBtu</t>
  </si>
  <si>
    <t>EIA factor for diesel/distillate fuel oil.</t>
  </si>
  <si>
    <t>https://www.eia.gov/environment/emissions/co2_vol_mass.php</t>
  </si>
  <si>
    <t>CO2 intensity</t>
  </si>
  <si>
    <t>ton CO2/MWh</t>
  </si>
  <si>
    <t>Calculated from recommended heat rate × EIA diesel CO2 factor / 2,000.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</si>
</sst>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0.000"/>
    <numFmt numFmtId="166" formatCode="0.0000\x"/>
    <numFmt numFmtId="167" formatCode="#,##0;[Red]\(#,##0\);\-"/>
    <numFmt numFmtId="168" formatCode="#,##0.0;[Red]\(#,##0.0\);\-"/>
    <numFmt numFmtId="169" formatCode="#,##0.00;[Red]\(#,##0.00\);\-"/>
    <numFmt numFmtId="170" formatCode="0.0000"/>
  </numFmts>
  <fonts count="13">
    <font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  <font>
      <sz val="11"/>
      <color rgb="FF000000"/>
      <name val="Carlito"/>
    </font>
    <font>
      <sz val="11"/>
      <color rgb="FF0563C1"/>
      <name val="Carlito"/>
    </font>
    <font>
      <b/>
      <sz val="11"/>
      <color rgb="FF000000"/>
      <name val="Carlito"/>
    </font>
    <font>
      <sz val="11"/>
      <color rgb="FF008000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7F6000"/>
      <name val="Carlito"/>
    </font>
    <font>
      <b/>
      <sz val="11"/>
      <color rgb="FF375623"/>
      <name val="Carlito"/>
    </font>
    <font>
      <b/>
      <sz val="11"/>
      <color rgb="FF0000FF"/>
      <name val="Carlito"/>
    </font>
    <font>
      <b/>
      <sz val="11"/>
      <color rgb="FF0563C1"/>
      <name val="Carlito"/>
    </font>
  </fonts>
  <fills count="2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2" fillId="0" borderId="0" xfId="0" applyFont="1"/>
    <xf numFmtId="164" fontId="2" fillId="3" borderId="0" xfId="0" applyNumberFormat="1" applyFont="1" applyFill="1"/>
    <xf numFmtId="0" fontId="2" fillId="3" borderId="0" xfId="0" applyFont="1" applyFill="1"/>
    <xf numFmtId="0" fontId="3" fillId="0" borderId="0" xfId="0" applyFont="1"/>
    <xf numFmtId="165" fontId="2" fillId="0" borderId="0" xfId="0" applyNumberFormat="1" applyFont="1"/>
    <xf numFmtId="166" fontId="3" fillId="0" borderId="0" xfId="0" applyNumberFormat="1" applyFont="1"/>
    <xf numFmtId="0" fontId="4" fillId="0" borderId="0" xfId="0" applyFont="1"/>
    <xf numFmtId="0" fontId="0" fillId="0" borderId="0" xfId="0" applyAlignment="1">
      <alignment wrapText="1"/>
    </xf>
    <xf numFmtId="0" fontId="5" fillId="4" borderId="0" xfId="0" applyFont="1" applyFill="1" applyAlignment="1">
      <alignment horizontal="center" vertical="center" wrapText="1"/>
    </xf>
    <xf numFmtId="167" fontId="2" fillId="0" borderId="0" xfId="0" applyNumberFormat="1" applyFont="1"/>
    <xf numFmtId="167" fontId="3" fillId="0" borderId="0" xfId="0" applyNumberFormat="1" applyFont="1"/>
    <xf numFmtId="168" fontId="2" fillId="0" borderId="0" xfId="0" applyNumberFormat="1" applyFont="1"/>
    <xf numFmtId="0" fontId="6" fillId="0" borderId="0" xfId="0" applyFont="1"/>
    <xf numFmtId="168" fontId="6" fillId="0" borderId="0" xfId="0" applyNumberFormat="1" applyFont="1"/>
    <xf numFmtId="167" fontId="6" fillId="0" borderId="0" xfId="0" applyNumberFormat="1" applyFont="1"/>
    <xf numFmtId="164" fontId="6" fillId="0" borderId="0" xfId="0" applyNumberFormat="1" applyFont="1"/>
    <xf numFmtId="166" fontId="6" fillId="0" borderId="0" xfId="0" applyNumberFormat="1" applyFont="1"/>
    <xf numFmtId="0" fontId="1" fillId="5" borderId="0" xfId="0" applyFont="1" applyFill="1" applyAlignment="1">
      <alignment horizontal="center" vertical="center" wrapText="1"/>
    </xf>
    <xf numFmtId="0" fontId="0" fillId="6" borderId="0" xfId="0" applyFill="1"/>
    <xf numFmtId="169" fontId="0" fillId="0" borderId="0" xfId="0" applyNumberFormat="1"/>
    <xf numFmtId="1" fontId="0" fillId="0" borderId="0" xfId="0" applyNumberFormat="1"/>
    <xf numFmtId="170" fontId="0" fillId="0" borderId="0" xfId="0" applyNumberFormat="1"/>
    <xf numFmtId="170" fontId="0" fillId="6" borderId="0" xfId="0" applyNumberFormat="1" applyFill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70" fontId="0" fillId="0" borderId="0" xfId="0" applyNumberFormat="1" applyAlignment="1">
      <alignment vertical="center"/>
    </xf>
    <xf numFmtId="170" fontId="0" fillId="6" borderId="0" xfId="0" applyNumberFormat="1" applyFill="1" applyAlignment="1">
      <alignment vertical="center"/>
    </xf>
    <xf numFmtId="0" fontId="0" fillId="0" borderId="0" xfId="0" applyAlignment="1">
      <alignment vertical="center" wrapText="1"/>
    </xf>
    <xf numFmtId="169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1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70" fontId="6" fillId="0" borderId="0" xfId="0" applyNumberFormat="1" applyFont="1" applyAlignment="1">
      <alignment vertical="center"/>
    </xf>
    <xf numFmtId="170" fontId="6" fillId="6" borderId="0" xfId="0" applyNumberFormat="1" applyFont="1" applyFill="1" applyAlignment="1">
      <alignment vertical="center"/>
    </xf>
    <xf numFmtId="170" fontId="2" fillId="6" borderId="0" xfId="0" applyNumberFormat="1" applyFont="1" applyFill="1" applyAlignment="1">
      <alignment vertical="center"/>
    </xf>
    <xf numFmtId="170" fontId="2" fillId="0" borderId="0" xfId="0" applyNumberFormat="1" applyFont="1" applyAlignment="1">
      <alignment vertical="center"/>
    </xf>
    <xf numFmtId="0" fontId="0" fillId="6" borderId="0" xfId="0" applyFill="1" applyAlignment="1">
      <alignment vertical="center"/>
    </xf>
    <xf numFmtId="169" fontId="0" fillId="6" borderId="0" xfId="0" applyNumberFormat="1" applyFill="1"/>
    <xf numFmtId="169" fontId="6" fillId="0" borderId="0" xfId="0" applyNumberFormat="1" applyFont="1"/>
    <xf numFmtId="0" fontId="4" fillId="0" borderId="0" xfId="0" applyFont="1" applyAlignment="1">
      <alignment vertical="center"/>
    </xf>
    <xf numFmtId="170" fontId="0" fillId="3" borderId="0" xfId="0" applyNumberFormat="1" applyFill="1"/>
    <xf numFmtId="0" fontId="9" fillId="8" borderId="0" xfId="0" applyFont="1" applyFill="1" applyAlignment="1">
      <alignment wrapText="1"/>
    </xf>
    <xf numFmtId="0" fontId="8" fillId="11" borderId="0" xfId="0" applyFont="1" applyFill="1" applyAlignment="1">
      <alignment horizontal="center" vertical="center" wrapText="1"/>
    </xf>
    <xf numFmtId="168" fontId="0" fillId="0" borderId="0" xfId="0" applyNumberFormat="1"/>
    <xf numFmtId="0" fontId="1" fillId="10" borderId="0" xfId="0" applyFont="1" applyFill="1" applyAlignment="1">
      <alignment horizontal="center" vertical="center" wrapText="1"/>
    </xf>
    <xf numFmtId="168" fontId="0" fillId="0" borderId="0" xfId="0" applyNumberFormat="1" applyAlignment="1">
      <alignment vertical="center"/>
    </xf>
    <xf numFmtId="0" fontId="1" fillId="12" borderId="0" xfId="0" applyFont="1" applyFill="1" applyAlignment="1">
      <alignment horizontal="center" vertical="center" wrapText="1"/>
    </xf>
    <xf numFmtId="0" fontId="8" fillId="14" borderId="0" xfId="0" applyFont="1" applyFill="1" applyAlignment="1">
      <alignment horizontal="center" vertical="center" wrapText="1"/>
    </xf>
    <xf numFmtId="165" fontId="0" fillId="0" borderId="0" xfId="0" applyNumberFormat="1" applyAlignment="1">
      <alignment wrapText="1"/>
    </xf>
    <xf numFmtId="0" fontId="4" fillId="0" borderId="0" xfId="0" applyFont="1" applyAlignment="1">
      <alignment wrapText="1"/>
    </xf>
    <xf numFmtId="168" fontId="0" fillId="0" borderId="0" xfId="0" applyNumberFormat="1" applyAlignment="1">
      <alignment wrapText="1"/>
    </xf>
    <xf numFmtId="170" fontId="0" fillId="0" borderId="0" xfId="0" applyNumberFormat="1" applyAlignment="1">
      <alignment wrapText="1"/>
    </xf>
    <xf numFmtId="0" fontId="0" fillId="15" borderId="0" xfId="0" applyFill="1"/>
    <xf numFmtId="0" fontId="2" fillId="16" borderId="0" xfId="0" applyFont="1" applyFill="1"/>
    <xf numFmtId="0" fontId="0" fillId="17" borderId="0" xfId="0" applyFill="1"/>
    <xf numFmtId="168" fontId="0" fillId="17" borderId="0" xfId="0" applyNumberFormat="1" applyFill="1"/>
    <xf numFmtId="164" fontId="0" fillId="17" borderId="0" xfId="0" applyNumberFormat="1" applyFill="1"/>
    <xf numFmtId="0" fontId="0" fillId="17" borderId="0" xfId="0" applyFill="1" applyAlignment="1">
      <alignment wrapText="1"/>
    </xf>
    <xf numFmtId="0" fontId="8" fillId="19" borderId="0" xfId="0" applyFont="1" applyFill="1" applyAlignment="1">
      <alignment horizontal="center" wrapText="1"/>
    </xf>
    <xf numFmtId="168" fontId="8" fillId="19" borderId="0" xfId="0" applyNumberFormat="1" applyFont="1" applyFill="1" applyAlignment="1">
      <alignment horizontal="center" wrapText="1"/>
    </xf>
    <xf numFmtId="170" fontId="2" fillId="16" borderId="0" xfId="0" applyNumberFormat="1" applyFont="1" applyFill="1"/>
    <xf numFmtId="169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70" fontId="2" fillId="16" borderId="0" xfId="0" applyNumberFormat="1" applyFont="1" applyFill="1" applyAlignment="1">
      <alignment wrapText="1"/>
    </xf>
    <xf numFmtId="0" fontId="0" fillId="16" borderId="0" xfId="0" applyFill="1"/>
    <xf numFmtId="170" fontId="0" fillId="16" borderId="0" xfId="0" applyNumberFormat="1" applyFill="1"/>
    <xf numFmtId="0" fontId="12" fillId="19" borderId="0" xfId="0" applyFont="1" applyFill="1" applyAlignment="1">
      <alignment horizontal="center" wrapText="1"/>
    </xf>
    <xf numFmtId="0" fontId="1" fillId="2" borderId="0" xfId="0" applyFont="1" applyFill="1" applyAlignment="1">
      <alignment vertical="center"/>
    </xf>
    <xf numFmtId="0" fontId="11" fillId="16" borderId="0" xfId="0" applyFont="1" applyFill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vertical="center" wrapText="1"/>
    </xf>
    <xf numFmtId="0" fontId="8" fillId="7" borderId="0" xfId="0" applyFont="1" applyFill="1" applyAlignment="1">
      <alignment horizontal="center" vertical="center" wrapText="1"/>
    </xf>
    <xf numFmtId="0" fontId="4" fillId="0" borderId="0" xfId="0" applyFont="1"/>
    <xf numFmtId="0" fontId="0" fillId="0" borderId="0" xfId="0"/>
    <xf numFmtId="164" fontId="1" fillId="2" borderId="0" xfId="0" applyNumberFormat="1" applyFont="1" applyFill="1" applyAlignment="1">
      <alignment vertical="center"/>
    </xf>
    <xf numFmtId="168" fontId="1" fillId="2" borderId="0" xfId="0" applyNumberFormat="1" applyFont="1" applyFill="1" applyAlignment="1">
      <alignment vertical="center"/>
    </xf>
    <xf numFmtId="0" fontId="1" fillId="18" borderId="0" xfId="0" applyFont="1" applyFill="1" applyAlignment="1">
      <alignment wrapText="1"/>
    </xf>
    <xf numFmtId="0" fontId="9" fillId="8" borderId="0" xfId="0" applyFont="1" applyFill="1" applyAlignment="1">
      <alignment vertical="center" wrapText="1"/>
    </xf>
    <xf numFmtId="0" fontId="7" fillId="5" borderId="0" xfId="0" applyFont="1" applyFill="1" applyAlignment="1">
      <alignment vertical="center"/>
    </xf>
    <xf numFmtId="169" fontId="8" fillId="4" borderId="0" xfId="0" applyNumberFormat="1" applyFont="1" applyFill="1" applyAlignment="1">
      <alignment horizontal="center" vertical="center" wrapText="1"/>
    </xf>
    <xf numFmtId="164" fontId="8" fillId="4" borderId="0" xfId="0" applyNumberFormat="1" applyFont="1" applyFill="1" applyAlignment="1">
      <alignment horizontal="center" vertical="center" wrapText="1"/>
    </xf>
    <xf numFmtId="1" fontId="8" fillId="4" borderId="0" xfId="0" applyNumberFormat="1" applyFont="1" applyFill="1" applyAlignment="1">
      <alignment horizontal="center" vertical="center" wrapText="1"/>
    </xf>
    <xf numFmtId="170" fontId="8" fillId="4" borderId="0" xfId="0" applyNumberFormat="1" applyFont="1" applyFill="1" applyAlignment="1">
      <alignment horizontal="center" vertical="center" wrapText="1"/>
    </xf>
    <xf numFmtId="170" fontId="11" fillId="16" borderId="0" xfId="0" applyNumberFormat="1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vertical="center" wrapText="1"/>
    </xf>
    <xf numFmtId="0" fontId="7" fillId="10" borderId="0" xfId="0" applyFont="1" applyFill="1" applyAlignment="1">
      <alignment vertical="center"/>
    </xf>
    <xf numFmtId="0" fontId="1" fillId="10" borderId="0" xfId="0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168" fontId="1" fillId="2" borderId="0" xfId="0" applyNumberFormat="1" applyFont="1" applyFill="1" applyAlignment="1">
      <alignment vertical="center" wrapText="1"/>
    </xf>
    <xf numFmtId="0" fontId="1" fillId="18" borderId="0" xfId="0" applyFont="1" applyFill="1"/>
    <xf numFmtId="168" fontId="1" fillId="18" borderId="0" xfId="0" applyNumberFormat="1" applyFont="1" applyFill="1"/>
    <xf numFmtId="0" fontId="7" fillId="12" borderId="0" xfId="0" applyFont="1" applyFill="1" applyAlignment="1">
      <alignment vertical="center"/>
    </xf>
    <xf numFmtId="0" fontId="10" fillId="13" borderId="0" xfId="0" applyFont="1" applyFill="1" applyAlignment="1">
      <alignment wrapText="1"/>
    </xf>
    <xf numFmtId="0" fontId="8" fillId="14" borderId="0" xfId="0" applyFont="1" applyFill="1" applyAlignment="1">
      <alignment horizontal="center" vertical="center" wrapText="1"/>
    </xf>
    <xf numFmtId="0" fontId="3" fillId="20" borderId="1" xfId="0" applyFont="1" applyFill="1" applyBorder="1" applyAlignment="1">
      <alignment vertical="center" wrapText="1"/>
    </xf>
    <xf numFmtId="0" fontId="3" fillId="20" borderId="1" xfId="0" applyFont="1" applyFill="1" applyBorder="1" applyAlignment="1">
      <alignment vertical="center"/>
    </xf>
    <xf numFmtId="164" fontId="3" fillId="20" borderId="1" xfId="0" applyNumberFormat="1" applyFont="1" applyFill="1" applyBorder="1" applyAlignment="1">
      <alignment vertical="center"/>
    </xf>
    <xf numFmtId="168" fontId="3" fillId="20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28"/>
  <sheetViews>
    <sheetView tabSelected="1" topLeftCell="A2" workbookViewId="0">
      <selection activeCell="A13" sqref="A13"/>
    </sheetView>
  </sheetViews>
  <sheetFormatPr defaultRowHeight="14.15"/>
  <cols>
    <col min="1" max="1" width="18" customWidth="1"/>
    <col min="2" max="2" width="14" customWidth="1"/>
    <col min="3" max="3" width="12" customWidth="1"/>
    <col min="4" max="4" width="18" customWidth="1"/>
    <col min="5" max="5" width="10" customWidth="1"/>
    <col min="6" max="6" width="22" customWidth="1"/>
    <col min="7" max="7" width="18" customWidth="1"/>
    <col min="8" max="8" width="22" customWidth="1"/>
    <col min="9" max="10" width="16" customWidth="1"/>
    <col min="11" max="11" width="18" customWidth="1"/>
    <col min="12" max="12" width="22" customWidth="1"/>
    <col min="13" max="13" width="18" customWidth="1"/>
    <col min="14" max="14" width="22" customWidth="1"/>
    <col min="15" max="15" width="34" customWidth="1"/>
    <col min="16" max="16" width="38" customWidth="1"/>
    <col min="17" max="17" width="64" customWidth="1"/>
  </cols>
  <sheetData>
    <row r="1" spans="1:17" ht="14.9" customHeight="1">
      <c r="A1" s="90" t="s">
        <v>454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</row>
    <row r="2" spans="1:17" ht="24" customHeight="1">
      <c r="A2" s="89" t="s">
        <v>455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</row>
    <row r="3" spans="1:17" ht="29.7" customHeight="1">
      <c r="A3" s="47" t="s">
        <v>25</v>
      </c>
      <c r="B3" s="47" t="s">
        <v>26</v>
      </c>
      <c r="C3" s="47" t="s">
        <v>284</v>
      </c>
      <c r="D3" s="47" t="s">
        <v>285</v>
      </c>
      <c r="E3" s="47" t="s">
        <v>286</v>
      </c>
      <c r="F3" s="47" t="s">
        <v>287</v>
      </c>
      <c r="G3" s="47" t="s">
        <v>288</v>
      </c>
      <c r="H3" s="47" t="s">
        <v>289</v>
      </c>
      <c r="I3" s="47" t="s">
        <v>158</v>
      </c>
      <c r="J3" s="47" t="s">
        <v>290</v>
      </c>
      <c r="K3" s="47" t="s">
        <v>291</v>
      </c>
      <c r="L3" s="47" t="s">
        <v>292</v>
      </c>
      <c r="M3" s="47" t="s">
        <v>293</v>
      </c>
      <c r="N3" s="47" t="s">
        <v>294</v>
      </c>
      <c r="O3" s="47" t="s">
        <v>295</v>
      </c>
      <c r="P3" s="47" t="s">
        <v>296</v>
      </c>
      <c r="Q3" s="47" t="s">
        <v>297</v>
      </c>
    </row>
    <row r="4" spans="1:17" ht="24" customHeight="1">
      <c r="A4" s="26" t="s">
        <v>28</v>
      </c>
      <c r="B4" s="26">
        <f>Assumptions!B15</f>
        <v>30</v>
      </c>
      <c r="C4" s="27">
        <f>Assumptions!$B$5</f>
        <v>7.0000000000000007E-2</v>
      </c>
      <c r="D4" s="48">
        <f>ERCOT_LTSA_2026!B30</f>
        <v>1314.8599322494424</v>
      </c>
      <c r="E4" s="28">
        <f t="shared" ref="E4:E15" si="0">C4*(1+C4)^B4/((1+C4)^B4-1)</f>
        <v>8.0586403511111196E-2</v>
      </c>
      <c r="F4" s="48">
        <f t="shared" ref="F4:F15" si="1">D4*E4</f>
        <v>105.9598330608459</v>
      </c>
      <c r="G4" s="48">
        <f>EIA_AEO2026_TRE!H6</f>
        <v>12.69</v>
      </c>
      <c r="H4" s="48">
        <f>F4+IF(G4="",0,G4)</f>
        <v>118.64983306084589</v>
      </c>
      <c r="I4" s="48">
        <f>EIA_AEO2026_TRE!I6</f>
        <v>3.57</v>
      </c>
      <c r="J4" s="48">
        <f>EIA_AEO2026_TRE!J6</f>
        <v>6226</v>
      </c>
      <c r="K4" s="48">
        <f>ERCOT_LTSA_2026!B35</f>
        <v>1254.1144077010592</v>
      </c>
      <c r="L4" s="48">
        <f t="shared" ref="L4:L15" si="2">K4*E4</f>
        <v>101.06456970809577</v>
      </c>
      <c r="M4" s="48">
        <f>EIA_AEO2026_TRE!H6</f>
        <v>12.69</v>
      </c>
      <c r="N4" s="48">
        <f>L4+IF(M4="",0,M4)</f>
        <v>113.75456970809577</v>
      </c>
      <c r="O4" s="30" t="s">
        <v>11</v>
      </c>
      <c r="P4" s="30" t="s">
        <v>298</v>
      </c>
      <c r="Q4" s="30" t="s">
        <v>456</v>
      </c>
    </row>
    <row r="5" spans="1:17" ht="24" customHeight="1">
      <c r="A5" s="26" t="s">
        <v>30</v>
      </c>
      <c r="B5" s="26">
        <f>Assumptions!B16</f>
        <v>30</v>
      </c>
      <c r="C5" s="27">
        <f>Assumptions!$B$5</f>
        <v>7.0000000000000007E-2</v>
      </c>
      <c r="D5" s="48">
        <f>ERCOT_LTSA_2026!C30</f>
        <v>1193.7780148867721</v>
      </c>
      <c r="E5" s="28">
        <f t="shared" si="0"/>
        <v>8.0586403511111196E-2</v>
      </c>
      <c r="F5" s="48">
        <f t="shared" si="1"/>
        <v>96.202276810358725</v>
      </c>
      <c r="G5" s="48">
        <f>EIA_AEO2026_TRE!H9</f>
        <v>7.18</v>
      </c>
      <c r="H5" s="48">
        <f>F5+IF(G5="",0,G5)</f>
        <v>103.38227681035872</v>
      </c>
      <c r="I5" s="48">
        <f>EIA_AEO2026_TRE!I9</f>
        <v>4.17</v>
      </c>
      <c r="J5" s="48">
        <f>EIA_AEO2026_TRE!J9</f>
        <v>9142</v>
      </c>
      <c r="K5" s="48">
        <f>ERCOT_LTSA_2026!C35</f>
        <v>1109.3160796791281</v>
      </c>
      <c r="L5" s="48">
        <f t="shared" si="2"/>
        <v>89.395793218386189</v>
      </c>
      <c r="M5" s="48">
        <f>EIA_AEO2026_TRE!H9</f>
        <v>7.18</v>
      </c>
      <c r="N5" s="48">
        <f>L5+IF(M5="",0,M5)</f>
        <v>96.575793218386195</v>
      </c>
      <c r="O5" s="30" t="s">
        <v>11</v>
      </c>
      <c r="P5" s="30" t="s">
        <v>298</v>
      </c>
      <c r="Q5" s="30" t="s">
        <v>457</v>
      </c>
    </row>
    <row r="6" spans="1:17" ht="24" customHeight="1">
      <c r="A6" s="26" t="s">
        <v>31</v>
      </c>
      <c r="B6" s="26">
        <f>Assumptions!B17</f>
        <v>30</v>
      </c>
      <c r="C6" s="27">
        <f>Assumptions!$B$5</f>
        <v>7.0000000000000007E-2</v>
      </c>
      <c r="D6" s="48">
        <f>ERCOT_LTSA_2026!D30</f>
        <v>2102.3408466525875</v>
      </c>
      <c r="E6" s="28">
        <f t="shared" si="0"/>
        <v>8.0586403511111196E-2</v>
      </c>
      <c r="F6" s="48">
        <f t="shared" si="1"/>
        <v>169.42008778623656</v>
      </c>
      <c r="G6" s="48"/>
      <c r="H6" s="48">
        <f>F6+IF(G6="",0,G6)</f>
        <v>169.42008778623656</v>
      </c>
      <c r="I6" s="48"/>
      <c r="J6" s="48"/>
      <c r="K6" s="48">
        <f>ERCOT_LTSA_2026!D35</f>
        <v>2036.829814175165</v>
      </c>
      <c r="L6" s="48">
        <f t="shared" si="2"/>
        <v>164.14078928858149</v>
      </c>
      <c r="M6" s="48"/>
      <c r="N6" s="48">
        <f>L6+IF(M6="",0,M6)</f>
        <v>164.14078928858149</v>
      </c>
      <c r="O6" s="30" t="s">
        <v>11</v>
      </c>
      <c r="P6" s="30" t="s">
        <v>301</v>
      </c>
      <c r="Q6" s="30" t="s">
        <v>458</v>
      </c>
    </row>
    <row r="7" spans="1:17" ht="24" customHeight="1">
      <c r="A7" s="26" t="s">
        <v>32</v>
      </c>
      <c r="B7" s="26">
        <f>Assumptions!B18</f>
        <v>60</v>
      </c>
      <c r="C7" s="27">
        <f>Assumptions!$B$5</f>
        <v>7.0000000000000007E-2</v>
      </c>
      <c r="D7" s="48">
        <f>ERCOT_LTSA_2026!E30</f>
        <v>8608.4758729400746</v>
      </c>
      <c r="E7" s="28">
        <f t="shared" si="0"/>
        <v>7.122922550001945E-2</v>
      </c>
      <c r="F7" s="48">
        <f t="shared" si="1"/>
        <v>613.17506916512536</v>
      </c>
      <c r="G7" s="48">
        <f>EIA_AEO2026_TRE!H11</f>
        <v>127.62</v>
      </c>
      <c r="H7" s="48">
        <f>F7+IF(G7="",0,G7)</f>
        <v>740.79506916512537</v>
      </c>
      <c r="I7" s="48">
        <f>EIA_AEO2026_TRE!I11</f>
        <v>3.32</v>
      </c>
      <c r="J7" s="48">
        <f>EIA_AEO2026_TRE!J11</f>
        <v>10445</v>
      </c>
      <c r="K7" s="48">
        <f>ERCOT_LTSA_2026!E35</f>
        <v>8133.6438590541438</v>
      </c>
      <c r="L7" s="48">
        <f t="shared" si="2"/>
        <v>579.35315257341597</v>
      </c>
      <c r="M7" s="48">
        <f>EIA_AEO2026_TRE!H11</f>
        <v>127.62</v>
      </c>
      <c r="N7" s="48">
        <f>L7+IF(M7="",0,M7)</f>
        <v>706.97315257341597</v>
      </c>
      <c r="O7" s="30" t="s">
        <v>11</v>
      </c>
      <c r="P7" s="30" t="s">
        <v>298</v>
      </c>
      <c r="Q7" s="30" t="s">
        <v>459</v>
      </c>
    </row>
    <row r="8" spans="1:17" ht="24" customHeight="1">
      <c r="A8" s="26" t="s">
        <v>33</v>
      </c>
      <c r="B8" s="26">
        <f>Assumptions!B19</f>
        <v>30</v>
      </c>
      <c r="C8" s="27">
        <f>Assumptions!$B$5</f>
        <v>7.0000000000000007E-2</v>
      </c>
      <c r="D8" s="48">
        <f>NLR_ATB_2024b!K15</f>
        <v>1548.8567926780634</v>
      </c>
      <c r="E8" s="28">
        <f t="shared" si="0"/>
        <v>8.0586403511111196E-2</v>
      </c>
      <c r="F8" s="48">
        <f t="shared" si="1"/>
        <v>124.81679847567992</v>
      </c>
      <c r="G8" s="48">
        <f>NLR_ATB_2024b!M15</f>
        <v>32.192400329387198</v>
      </c>
      <c r="H8" s="48">
        <f>F8+G8</f>
        <v>157.00919880506711</v>
      </c>
      <c r="I8" s="48">
        <f>NLR_ATB_2024b!O15</f>
        <v>0</v>
      </c>
      <c r="J8" s="48"/>
      <c r="K8" s="48">
        <f>NLR_ATB_2024b!L15</f>
        <v>1468.2637787643903</v>
      </c>
      <c r="L8" s="48">
        <f t="shared" si="2"/>
        <v>118.32209733625605</v>
      </c>
      <c r="M8" s="48">
        <f>NLR_ATB_2024b!N15</f>
        <v>31.089512540324847</v>
      </c>
      <c r="N8" s="48">
        <f>L8+M8</f>
        <v>149.41160987658088</v>
      </c>
      <c r="O8" s="30" t="s">
        <v>460</v>
      </c>
      <c r="P8" s="30" t="s">
        <v>461</v>
      </c>
      <c r="Q8" s="30" t="s">
        <v>462</v>
      </c>
    </row>
    <row r="9" spans="1:17" ht="24" customHeight="1">
      <c r="A9" s="26" t="s">
        <v>34</v>
      </c>
      <c r="B9" s="26">
        <f>Assumptions!B20</f>
        <v>30</v>
      </c>
      <c r="C9" s="27">
        <f>Assumptions!$B$5</f>
        <v>7.0000000000000007E-2</v>
      </c>
      <c r="D9" s="48">
        <f>ERCOT_LTSA_2026!G30</f>
        <v>1171.3554375973886</v>
      </c>
      <c r="E9" s="28">
        <f t="shared" si="0"/>
        <v>8.0586403511111196E-2</v>
      </c>
      <c r="F9" s="48">
        <f t="shared" si="1"/>
        <v>94.395321949157392</v>
      </c>
      <c r="G9" s="48">
        <f>EIA_AEO2026_TRE!H14</f>
        <v>23.6</v>
      </c>
      <c r="H9" s="48">
        <f>F9+IF(G9="",0,G9)</f>
        <v>117.99532194915739</v>
      </c>
      <c r="I9" s="48">
        <f>EIA_AEO2026_TRE!I14</f>
        <v>0</v>
      </c>
      <c r="J9" s="48"/>
      <c r="K9" s="48">
        <f>ERCOT_LTSA_2026!G35</f>
        <v>1052.2011836260331</v>
      </c>
      <c r="L9" s="48">
        <f t="shared" si="2"/>
        <v>84.793109158556305</v>
      </c>
      <c r="M9" s="48">
        <f>EIA_AEO2026_TRE!H14</f>
        <v>23.6</v>
      </c>
      <c r="N9" s="48">
        <f>L9+IF(M9="",0,M9)</f>
        <v>108.39310915855631</v>
      </c>
      <c r="O9" s="30" t="s">
        <v>11</v>
      </c>
      <c r="P9" s="30" t="s">
        <v>298</v>
      </c>
      <c r="Q9" s="30" t="s">
        <v>463</v>
      </c>
    </row>
    <row r="10" spans="1:17" ht="24" customHeight="1">
      <c r="A10" s="26" t="s">
        <v>35</v>
      </c>
      <c r="B10" s="26">
        <f>Assumptions!B21</f>
        <v>15</v>
      </c>
      <c r="C10" s="27">
        <f>Assumptions!$B$5</f>
        <v>7.0000000000000007E-2</v>
      </c>
      <c r="D10" s="48">
        <f>ERCOT_LTSA_2026!H30</f>
        <v>697.79060524561135</v>
      </c>
      <c r="E10" s="28">
        <f t="shared" si="0"/>
        <v>0.10979462470100652</v>
      </c>
      <c r="F10" s="48">
        <f t="shared" si="1"/>
        <v>76.61365762283009</v>
      </c>
      <c r="G10" s="48">
        <f>NLR_ATB_2024b!M24</f>
        <v>22.242684487916868</v>
      </c>
      <c r="H10" s="48">
        <f>F10+IF(G10="",0,G10)</f>
        <v>98.856342110746965</v>
      </c>
      <c r="I10" s="48">
        <f>NLR_ATB_2024b!O24</f>
        <v>0</v>
      </c>
      <c r="J10" s="48"/>
      <c r="K10" s="48">
        <f>ERCOT_LTSA_2026!H35</f>
        <v>645.15699485327104</v>
      </c>
      <c r="L10" s="48">
        <f t="shared" si="2"/>
        <v>70.834770123144096</v>
      </c>
      <c r="M10" s="48">
        <f>NLR_ATB_2024b!N24</f>
        <v>20.713591158521847</v>
      </c>
      <c r="N10" s="48">
        <f>L10+IF(M10="",0,M10)</f>
        <v>91.548361281665947</v>
      </c>
      <c r="O10" s="30" t="s">
        <v>11</v>
      </c>
      <c r="P10" s="30" t="s">
        <v>306</v>
      </c>
      <c r="Q10" s="30" t="s">
        <v>464</v>
      </c>
    </row>
    <row r="11" spans="1:17" ht="24" customHeight="1">
      <c r="A11" s="26" t="s">
        <v>36</v>
      </c>
      <c r="B11" s="26">
        <f>Assumptions!B22</f>
        <v>15</v>
      </c>
      <c r="C11" s="27">
        <f>Assumptions!$B$5</f>
        <v>7.0000000000000007E-2</v>
      </c>
      <c r="D11" s="48">
        <f>NLR_BESS_2025!I11</f>
        <v>1145.3649570115624</v>
      </c>
      <c r="E11" s="28">
        <f t="shared" si="0"/>
        <v>0.10979462470100652</v>
      </c>
      <c r="F11" s="48">
        <f t="shared" si="1"/>
        <v>125.75491560076897</v>
      </c>
      <c r="G11" s="48">
        <f>NLR_ATB_2024b!M27</f>
        <v>35.756699312846301</v>
      </c>
      <c r="H11" s="48">
        <f>F11+G11</f>
        <v>161.51161491361526</v>
      </c>
      <c r="I11" s="48">
        <f>NLR_ATB_2024b!O27</f>
        <v>0</v>
      </c>
      <c r="J11" s="48"/>
      <c r="K11" s="48">
        <f>NLR_BESS_2025!I16</f>
        <v>997.575930300393</v>
      </c>
      <c r="L11" s="48">
        <f t="shared" si="2"/>
        <v>109.52847487808909</v>
      </c>
      <c r="M11" s="48">
        <f>NLR_ATB_2024b!N27</f>
        <v>32.999472721570122</v>
      </c>
      <c r="N11" s="48">
        <f>L11+M11</f>
        <v>142.5279475996592</v>
      </c>
      <c r="O11" s="30" t="s">
        <v>465</v>
      </c>
      <c r="P11" s="30" t="s">
        <v>466</v>
      </c>
      <c r="Q11" s="30" t="s">
        <v>467</v>
      </c>
    </row>
    <row r="12" spans="1:17" ht="24" customHeight="1">
      <c r="A12" s="26" t="s">
        <v>37</v>
      </c>
      <c r="B12" s="26">
        <f>Assumptions!B23</f>
        <v>15</v>
      </c>
      <c r="C12" s="27">
        <f>Assumptions!$B$5</f>
        <v>7.0000000000000007E-2</v>
      </c>
      <c r="D12" s="48">
        <f>ERCOT_LTSA_2026!J30</f>
        <v>1705.0127770847134</v>
      </c>
      <c r="E12" s="28">
        <f t="shared" si="0"/>
        <v>0.10979462470100652</v>
      </c>
      <c r="F12" s="48">
        <f t="shared" si="1"/>
        <v>187.20123797043701</v>
      </c>
      <c r="G12" s="48">
        <f>NLR_ATB_2024b!M30</f>
        <v>49.270714137775734</v>
      </c>
      <c r="H12" s="48">
        <f>F12+IF(G12="",0,G12)</f>
        <v>236.47195210821275</v>
      </c>
      <c r="I12" s="48">
        <f>NLR_ATB_2024b!O30</f>
        <v>0</v>
      </c>
      <c r="J12" s="48"/>
      <c r="K12" s="48">
        <f>ERCOT_LTSA_2026!J35</f>
        <v>1576.6929051276948</v>
      </c>
      <c r="L12" s="48">
        <f t="shared" si="2"/>
        <v>173.11240578723493</v>
      </c>
      <c r="M12" s="48">
        <f>NLR_ATB_2024b!N30</f>
        <v>45.2853542846184</v>
      </c>
      <c r="N12" s="48">
        <f>L12+IF(M12="",0,M12)</f>
        <v>218.39776007185333</v>
      </c>
      <c r="O12" s="30" t="s">
        <v>11</v>
      </c>
      <c r="P12" s="30" t="s">
        <v>306</v>
      </c>
      <c r="Q12" s="30" t="s">
        <v>468</v>
      </c>
    </row>
    <row r="13" spans="1:17" ht="29.7" customHeight="1">
      <c r="A13" t="s">
        <v>38</v>
      </c>
      <c r="B13">
        <f>Assumptions!B24</f>
        <v>20</v>
      </c>
      <c r="C13" s="2">
        <f>Assumptions!$B$5</f>
        <v>7.0000000000000007E-2</v>
      </c>
      <c r="D13" s="46">
        <f>Diesel_Review!B20</f>
        <v>800</v>
      </c>
      <c r="E13" s="46">
        <f t="shared" si="0"/>
        <v>9.4392925743255696E-2</v>
      </c>
      <c r="F13" s="46">
        <f t="shared" si="1"/>
        <v>75.514340594604562</v>
      </c>
      <c r="G13" s="46">
        <f>Diesel_Review!D20</f>
        <v>35</v>
      </c>
      <c r="H13" s="46">
        <f>F13+G13</f>
        <v>110.51434059460456</v>
      </c>
      <c r="I13" s="46">
        <f>Diesel_Review!E20</f>
        <v>0</v>
      </c>
      <c r="J13" s="46">
        <f>Diesel_Review!F20*1000</f>
        <v>9500</v>
      </c>
      <c r="K13" s="46">
        <f>Diesel_Review!C20</f>
        <v>800</v>
      </c>
      <c r="L13" s="46">
        <f t="shared" si="2"/>
        <v>75.514340594604562</v>
      </c>
      <c r="M13" s="46">
        <f>Diesel_Review!D20</f>
        <v>35</v>
      </c>
      <c r="N13" s="46">
        <f>L13+M13</f>
        <v>110.51434059460456</v>
      </c>
      <c r="O13" s="10" t="s">
        <v>275</v>
      </c>
      <c r="P13" s="10" t="s">
        <v>469</v>
      </c>
      <c r="Q13" s="10" t="s">
        <v>470</v>
      </c>
    </row>
    <row r="14" spans="1:17" ht="29.7" customHeight="1">
      <c r="A14" s="99" t="s">
        <v>40</v>
      </c>
      <c r="B14" s="100">
        <v>30</v>
      </c>
      <c r="C14" s="101">
        <v>7.0000000000000007E-2</v>
      </c>
      <c r="D14" s="102">
        <v>1373.9</v>
      </c>
      <c r="E14" s="102">
        <v>0.1</v>
      </c>
      <c r="F14" s="102">
        <v>110.7</v>
      </c>
      <c r="G14" s="102">
        <v>44.3</v>
      </c>
      <c r="H14" s="102">
        <v>155</v>
      </c>
      <c r="I14" s="102">
        <v>7.2</v>
      </c>
      <c r="J14" s="102">
        <v>9500</v>
      </c>
      <c r="K14" s="102">
        <v>1373.9</v>
      </c>
      <c r="L14" s="102">
        <v>110.7</v>
      </c>
      <c r="M14" s="102">
        <v>44.3</v>
      </c>
      <c r="N14" s="102">
        <v>155</v>
      </c>
      <c r="O14" s="99" t="s">
        <v>471</v>
      </c>
      <c r="P14" s="99" t="s">
        <v>313</v>
      </c>
      <c r="Q14" s="99" t="s">
        <v>472</v>
      </c>
    </row>
    <row r="15" spans="1:17" ht="29.7" customHeight="1">
      <c r="A15" s="91" t="s">
        <v>40</v>
      </c>
      <c r="B15" s="91">
        <f>Assumptions!B25</f>
        <v>30</v>
      </c>
      <c r="C15" s="92">
        <f>Assumptions!$B$5</f>
        <v>7.0000000000000007E-2</v>
      </c>
      <c r="D15" s="93">
        <f>Diesel_Review!B21</f>
        <v>1373.8712923956705</v>
      </c>
      <c r="E15" s="93">
        <f t="shared" si="0"/>
        <v>8.0586403511111196E-2</v>
      </c>
      <c r="F15" s="93">
        <f t="shared" si="1"/>
        <v>110.71534634132934</v>
      </c>
      <c r="G15" s="93">
        <f>Diesel_Review!D21</f>
        <v>44.276182072073119</v>
      </c>
      <c r="H15" s="93">
        <f>F15+G15</f>
        <v>154.99152841340245</v>
      </c>
      <c r="I15" s="93">
        <f>Diesel_Review!E21</f>
        <v>7.1652865753724715</v>
      </c>
      <c r="J15" s="93">
        <f>Diesel_Review!F21*1000</f>
        <v>9500</v>
      </c>
      <c r="K15" s="93">
        <f>Diesel_Review!C21</f>
        <v>1373.8712923956705</v>
      </c>
      <c r="L15" s="93">
        <f t="shared" si="2"/>
        <v>110.71534634132934</v>
      </c>
      <c r="M15" s="93">
        <f>Diesel_Review!D21</f>
        <v>44.276182072073119</v>
      </c>
      <c r="N15" s="93">
        <f>L15+M15</f>
        <v>154.99152841340245</v>
      </c>
      <c r="O15" s="74" t="s">
        <v>471</v>
      </c>
      <c r="P15" s="74" t="s">
        <v>313</v>
      </c>
      <c r="Q15" s="74" t="s">
        <v>472</v>
      </c>
    </row>
    <row r="16" spans="1:17" ht="16" customHeight="1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</row>
    <row r="17" spans="1:17" ht="16" customHeight="1">
      <c r="A17" s="80" t="s">
        <v>315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</row>
    <row r="18" spans="1:17" ht="16" customHeight="1">
      <c r="A18" s="73" t="s">
        <v>316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</row>
    <row r="19" spans="1:17">
      <c r="A19" s="73" t="s">
        <v>317</v>
      </c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</row>
    <row r="20" spans="1:17">
      <c r="A20" s="74" t="s">
        <v>473</v>
      </c>
      <c r="B20" s="74"/>
      <c r="C20" s="74"/>
      <c r="D20" s="74"/>
      <c r="E20" s="74"/>
      <c r="F20" s="74"/>
      <c r="G20" s="74"/>
      <c r="H20" s="74"/>
      <c r="I20" s="10"/>
      <c r="J20" s="10"/>
      <c r="K20" s="10"/>
      <c r="L20" s="10"/>
      <c r="M20" s="10"/>
      <c r="N20" s="10"/>
      <c r="O20" s="10"/>
      <c r="P20" s="10"/>
      <c r="Q20" s="10"/>
    </row>
    <row r="21" spans="1:17" ht="20.6" customHeight="1">
      <c r="A21" s="45"/>
      <c r="B21" s="45"/>
      <c r="C21" s="45"/>
      <c r="D21" s="45"/>
      <c r="E21" s="45"/>
      <c r="F21" s="45"/>
      <c r="G21" s="45"/>
      <c r="H21" s="45"/>
    </row>
    <row r="22" spans="1:17" ht="22.85" customHeight="1">
      <c r="A22" s="94" t="s">
        <v>474</v>
      </c>
      <c r="B22" s="95"/>
      <c r="C22" s="95"/>
      <c r="D22" s="95"/>
      <c r="E22" s="95"/>
      <c r="F22" s="95"/>
      <c r="G22" s="95"/>
      <c r="H22" s="80"/>
    </row>
    <row r="23" spans="1:17" ht="22.85" customHeight="1">
      <c r="A23" s="61" t="s">
        <v>25</v>
      </c>
      <c r="B23" s="62" t="s">
        <v>475</v>
      </c>
      <c r="C23" s="62" t="s">
        <v>476</v>
      </c>
      <c r="D23" s="62" t="s">
        <v>477</v>
      </c>
      <c r="E23" s="62" t="s">
        <v>478</v>
      </c>
      <c r="F23" s="62" t="s">
        <v>479</v>
      </c>
      <c r="G23" s="62" t="s">
        <v>480</v>
      </c>
      <c r="H23" s="61" t="s">
        <v>481</v>
      </c>
    </row>
    <row r="24" spans="1:17" ht="24" customHeight="1">
      <c r="A24" t="s">
        <v>32</v>
      </c>
      <c r="B24" s="46">
        <f>NLR_ATB_2024b!K11</f>
        <v>7058.9076303962838</v>
      </c>
      <c r="C24" s="46">
        <f>D7</f>
        <v>8608.4758729400746</v>
      </c>
      <c r="D24" s="46">
        <f>NLR_ATB_2024b!K13</f>
        <v>13950.214487486255</v>
      </c>
      <c r="E24" s="46">
        <f>NLR_ATB_2024b!L11</f>
        <v>4222.7393860406346</v>
      </c>
      <c r="F24" s="46">
        <f>K7</f>
        <v>8133.6438590541438</v>
      </c>
      <c r="G24" s="46">
        <f>NLR_ATB_2024b!L13</f>
        <v>13259.609809887927</v>
      </c>
      <c r="H24" s="10" t="s">
        <v>482</v>
      </c>
    </row>
    <row r="25" spans="1:17" ht="24" customHeight="1">
      <c r="A25" t="s">
        <v>33</v>
      </c>
      <c r="B25" s="46">
        <f>NLR_ATB_2024b!K14</f>
        <v>1475.9427050752938</v>
      </c>
      <c r="C25" s="46">
        <f>D8</f>
        <v>1548.8567926780634</v>
      </c>
      <c r="D25" s="46">
        <f>CEM_BaseCase!D8</f>
        <v>2010.8567313119031</v>
      </c>
      <c r="E25" s="46">
        <f>NLR_ATB_2024b!L14</f>
        <v>1384.7759578488854</v>
      </c>
      <c r="F25" s="46">
        <f>K8</f>
        <v>1468.2637787643903</v>
      </c>
      <c r="G25" s="46">
        <f>CEM_BaseCase!K8</f>
        <v>1960.4084743858125</v>
      </c>
      <c r="H25" s="10" t="s">
        <v>483</v>
      </c>
    </row>
    <row r="26" spans="1:17" ht="24" customHeight="1">
      <c r="A26" t="s">
        <v>36</v>
      </c>
      <c r="B26" s="46">
        <f>NLR_BESS_2025!H11</f>
        <v>849.7869035892237</v>
      </c>
      <c r="C26" s="46">
        <f>D11</f>
        <v>1145.3649570115624</v>
      </c>
      <c r="D26" s="46">
        <f>NLR_BESS_2025!J11</f>
        <v>1453.2587626598317</v>
      </c>
      <c r="E26" s="46">
        <f>NLR_BESS_2025!H16</f>
        <v>603.47185907060816</v>
      </c>
      <c r="F26" s="46">
        <f>K11</f>
        <v>997.575930300393</v>
      </c>
      <c r="G26" s="46">
        <f>NLR_BESS_2025!J16</f>
        <v>1391.6800015301778</v>
      </c>
      <c r="H26" s="10" t="s">
        <v>484</v>
      </c>
    </row>
    <row r="27" spans="1:17" ht="24" customHeight="1">
      <c r="A27" t="s">
        <v>38</v>
      </c>
      <c r="B27" s="46">
        <f>Diesel_Review!I20</f>
        <v>600</v>
      </c>
      <c r="C27" s="46">
        <f>Diesel_Review!J20</f>
        <v>800</v>
      </c>
      <c r="D27" s="46">
        <f>Diesel_Review!K20</f>
        <v>1000</v>
      </c>
      <c r="E27" s="46">
        <f>Diesel_Review!I20</f>
        <v>600</v>
      </c>
      <c r="F27" s="46">
        <f>Diesel_Review!J20</f>
        <v>800</v>
      </c>
      <c r="G27" s="46">
        <f>Diesel_Review!K20</f>
        <v>1000</v>
      </c>
      <c r="H27" s="10" t="s">
        <v>485</v>
      </c>
    </row>
    <row r="28" spans="1:17" ht="24" customHeight="1">
      <c r="A28" t="s">
        <v>40</v>
      </c>
      <c r="B28" s="46">
        <f>Diesel_Review!I21</f>
        <v>1094.0493227368509</v>
      </c>
      <c r="C28" s="46">
        <f>Diesel_Review!J21</f>
        <v>1373.8712923956705</v>
      </c>
      <c r="D28" s="46">
        <f>Diesel_Review!K21</f>
        <v>1717.339115494588</v>
      </c>
      <c r="E28" s="46">
        <f>Diesel_Review!I21</f>
        <v>1094.0493227368509</v>
      </c>
      <c r="F28" s="46">
        <f>Diesel_Review!J21</f>
        <v>1373.8712923956705</v>
      </c>
      <c r="G28" s="46">
        <f>Diesel_Review!K21</f>
        <v>1717.339115494588</v>
      </c>
      <c r="H28" s="10" t="s">
        <v>486</v>
      </c>
    </row>
  </sheetData>
  <mergeCells count="9">
    <mergeCell ref="A22:H22"/>
    <mergeCell ref="A2:Q2"/>
    <mergeCell ref="A20:H20"/>
    <mergeCell ref="A1:Q1"/>
    <mergeCell ref="A15:Q15"/>
    <mergeCell ref="A16:Q16"/>
    <mergeCell ref="A17:Q17"/>
    <mergeCell ref="A18:Q18"/>
    <mergeCell ref="A19:Q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.15"/>
  <cols>
    <col min="1" max="1" width="31" customWidth="1"/>
    <col min="2" max="3" width="18" customWidth="1"/>
    <col min="4" max="4" width="38" customWidth="1"/>
    <col min="5" max="5" width="12" customWidth="1"/>
    <col min="6" max="6" width="55" customWidth="1"/>
  </cols>
  <sheetData>
    <row r="1" spans="1:6" ht="14.9" customHeight="1">
      <c r="A1" s="71" t="s">
        <v>0</v>
      </c>
      <c r="B1" s="71"/>
      <c r="C1" s="71"/>
      <c r="D1" s="71"/>
      <c r="E1" s="71"/>
      <c r="F1" s="71"/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t="s">
        <v>7</v>
      </c>
      <c r="B4" s="4">
        <v>2.1999999999999999E-2</v>
      </c>
      <c r="C4" t="s">
        <v>8</v>
      </c>
      <c r="D4" t="s">
        <v>9</v>
      </c>
      <c r="E4" t="s">
        <v>10</v>
      </c>
      <c r="F4" t="s">
        <v>11</v>
      </c>
    </row>
    <row r="5" spans="1:6">
      <c r="A5" t="s">
        <v>12</v>
      </c>
      <c r="B5" s="4">
        <v>7.0000000000000007E-2</v>
      </c>
      <c r="C5" t="s">
        <v>13</v>
      </c>
      <c r="D5" t="s">
        <v>14</v>
      </c>
      <c r="E5" t="s">
        <v>10</v>
      </c>
      <c r="F5" t="s">
        <v>15</v>
      </c>
    </row>
    <row r="6" spans="1:6">
      <c r="A6" t="s">
        <v>16</v>
      </c>
      <c r="B6" s="5">
        <v>2025</v>
      </c>
      <c r="C6" t="s">
        <v>17</v>
      </c>
      <c r="D6" t="s">
        <v>18</v>
      </c>
      <c r="E6" t="s">
        <v>10</v>
      </c>
      <c r="F6" t="s">
        <v>19</v>
      </c>
    </row>
    <row r="8" spans="1:6" ht="28.3">
      <c r="A8" s="1" t="s">
        <v>20</v>
      </c>
      <c r="B8" s="1" t="s">
        <v>21</v>
      </c>
      <c r="C8" s="1" t="s">
        <v>22</v>
      </c>
      <c r="D8" s="1" t="s">
        <v>23</v>
      </c>
    </row>
    <row r="9" spans="1:6">
      <c r="A9" s="3">
        <v>2022</v>
      </c>
      <c r="B9" s="7">
        <v>292.65499999999997</v>
      </c>
      <c r="C9" s="8">
        <f>$B$12/B9</f>
        <v>1.1000768823358562</v>
      </c>
      <c r="D9" s="9" t="s">
        <v>24</v>
      </c>
    </row>
    <row r="10" spans="1:6">
      <c r="A10" s="3">
        <v>2023</v>
      </c>
      <c r="B10" s="7">
        <v>304.702</v>
      </c>
      <c r="C10" s="8">
        <f>$B$12/B10</f>
        <v>1.0565831533760854</v>
      </c>
      <c r="D10" s="9" t="s">
        <v>24</v>
      </c>
    </row>
    <row r="11" spans="1:6">
      <c r="A11" s="3">
        <v>2024</v>
      </c>
      <c r="B11" s="7">
        <v>313.68900000000002</v>
      </c>
      <c r="C11" s="8">
        <f>$B$12/B11</f>
        <v>1.0263126854942315</v>
      </c>
      <c r="D11" s="9" t="s">
        <v>24</v>
      </c>
    </row>
    <row r="12" spans="1:6">
      <c r="A12" s="3">
        <v>2025</v>
      </c>
      <c r="B12" s="7">
        <v>321.94299999999998</v>
      </c>
      <c r="C12" s="8">
        <f>$B$12/B12</f>
        <v>1</v>
      </c>
      <c r="D12" s="9" t="s">
        <v>24</v>
      </c>
    </row>
    <row r="14" spans="1:6">
      <c r="A14" s="1" t="s">
        <v>25</v>
      </c>
      <c r="B14" s="1" t="s">
        <v>26</v>
      </c>
      <c r="C14" s="1" t="s">
        <v>27</v>
      </c>
    </row>
    <row r="15" spans="1:6">
      <c r="A15" t="s">
        <v>28</v>
      </c>
      <c r="B15" s="5">
        <v>30</v>
      </c>
      <c r="C15" t="s">
        <v>29</v>
      </c>
    </row>
    <row r="16" spans="1:6">
      <c r="A16" t="s">
        <v>30</v>
      </c>
      <c r="B16" s="5">
        <v>30</v>
      </c>
      <c r="C16" t="s">
        <v>29</v>
      </c>
    </row>
    <row r="17" spans="1:6">
      <c r="A17" t="s">
        <v>31</v>
      </c>
      <c r="B17" s="5">
        <v>30</v>
      </c>
      <c r="C17" t="s">
        <v>29</v>
      </c>
    </row>
    <row r="18" spans="1:6">
      <c r="A18" t="s">
        <v>32</v>
      </c>
      <c r="B18" s="5">
        <v>60</v>
      </c>
      <c r="C18" t="s">
        <v>29</v>
      </c>
    </row>
    <row r="19" spans="1:6">
      <c r="A19" t="s">
        <v>33</v>
      </c>
      <c r="B19" s="5">
        <v>30</v>
      </c>
      <c r="C19" t="s">
        <v>29</v>
      </c>
    </row>
    <row r="20" spans="1:6">
      <c r="A20" t="s">
        <v>34</v>
      </c>
      <c r="B20" s="5">
        <v>30</v>
      </c>
      <c r="C20" t="s">
        <v>29</v>
      </c>
    </row>
    <row r="21" spans="1:6">
      <c r="A21" t="s">
        <v>35</v>
      </c>
      <c r="B21" s="5">
        <v>15</v>
      </c>
      <c r="C21" t="s">
        <v>29</v>
      </c>
    </row>
    <row r="22" spans="1:6">
      <c r="A22" t="s">
        <v>36</v>
      </c>
      <c r="B22" s="5">
        <v>15</v>
      </c>
      <c r="C22" t="s">
        <v>29</v>
      </c>
    </row>
    <row r="23" spans="1:6">
      <c r="A23" t="s">
        <v>37</v>
      </c>
      <c r="B23" s="5">
        <v>15</v>
      </c>
      <c r="C23" t="s">
        <v>29</v>
      </c>
    </row>
    <row r="24" spans="1:6">
      <c r="A24" t="s">
        <v>38</v>
      </c>
      <c r="B24" s="56">
        <v>20</v>
      </c>
      <c r="C24" t="s">
        <v>39</v>
      </c>
    </row>
    <row r="25" spans="1:6">
      <c r="A25" s="71" t="s">
        <v>40</v>
      </c>
      <c r="B25" s="72">
        <v>30</v>
      </c>
      <c r="C25" s="71" t="s">
        <v>41</v>
      </c>
      <c r="D25" s="71"/>
      <c r="E25" s="71"/>
      <c r="F25" s="71"/>
    </row>
    <row r="26" spans="1:6" ht="13.75" customHeight="1">
      <c r="A26" s="73"/>
      <c r="B26" s="73"/>
      <c r="C26" s="73"/>
      <c r="D26" s="73"/>
      <c r="E26" s="73"/>
      <c r="F26" s="73"/>
    </row>
    <row r="27" spans="1:6" ht="13.75" customHeight="1">
      <c r="A27" s="73" t="s">
        <v>42</v>
      </c>
      <c r="B27" s="73"/>
      <c r="C27" s="73"/>
      <c r="D27" s="73"/>
      <c r="E27" s="73"/>
      <c r="F27" s="73"/>
    </row>
    <row r="28" spans="1:6" ht="13.75" customHeight="1">
      <c r="A28" s="73" t="s">
        <v>43</v>
      </c>
      <c r="B28" s="73"/>
      <c r="C28" s="73"/>
      <c r="D28" s="73"/>
      <c r="E28" s="73"/>
      <c r="F28" s="73"/>
    </row>
    <row r="29" spans="1:6">
      <c r="A29" t="s">
        <v>42</v>
      </c>
    </row>
    <row r="30" spans="1:6">
      <c r="A30" t="s">
        <v>43</v>
      </c>
    </row>
  </sheetData>
  <mergeCells count="5">
    <mergeCell ref="A1:F1"/>
    <mergeCell ref="A25:F25"/>
    <mergeCell ref="A26:F26"/>
    <mergeCell ref="A27:F27"/>
    <mergeCell ref="A28:F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workbookViewId="0"/>
  </sheetViews>
  <sheetFormatPr defaultRowHeight="14.15"/>
  <cols>
    <col min="1" max="1" width="31" customWidth="1"/>
    <col min="2" max="2" width="35" customWidth="1"/>
    <col min="3" max="3" width="20" customWidth="1"/>
    <col min="4" max="4" width="22" customWidth="1"/>
    <col min="5" max="5" width="27" customWidth="1"/>
    <col min="6" max="6" width="47" customWidth="1"/>
    <col min="7" max="7" width="58" customWidth="1"/>
  </cols>
  <sheetData>
    <row r="1" spans="1:7" ht="14.9" customHeight="1">
      <c r="A1" s="71" t="s">
        <v>44</v>
      </c>
      <c r="B1" s="71"/>
      <c r="C1" s="71"/>
      <c r="D1" s="71"/>
      <c r="E1" s="71"/>
      <c r="F1" s="71"/>
      <c r="G1" s="71"/>
    </row>
    <row r="3" spans="1:7">
      <c r="A3" s="1" t="s">
        <v>45</v>
      </c>
      <c r="B3" s="1" t="s">
        <v>46</v>
      </c>
      <c r="C3" s="1" t="s">
        <v>47</v>
      </c>
      <c r="D3" s="1" t="s">
        <v>48</v>
      </c>
      <c r="E3" s="1" t="s">
        <v>49</v>
      </c>
      <c r="F3" s="1" t="s">
        <v>50</v>
      </c>
      <c r="G3" s="1" t="s">
        <v>51</v>
      </c>
    </row>
    <row r="4" spans="1:7" ht="28.3">
      <c r="A4" s="10" t="s">
        <v>52</v>
      </c>
      <c r="B4" s="10" t="s">
        <v>53</v>
      </c>
      <c r="C4" s="10" t="s">
        <v>54</v>
      </c>
      <c r="D4" s="10" t="s">
        <v>55</v>
      </c>
      <c r="E4" s="10" t="s">
        <v>56</v>
      </c>
      <c r="F4" s="10" t="s">
        <v>57</v>
      </c>
      <c r="G4" s="9" t="s">
        <v>58</v>
      </c>
    </row>
    <row r="5" spans="1:7" ht="28.3">
      <c r="A5" s="10" t="s">
        <v>59</v>
      </c>
      <c r="B5" s="10" t="s">
        <v>60</v>
      </c>
      <c r="C5" s="10" t="s">
        <v>61</v>
      </c>
      <c r="D5" s="10" t="s">
        <v>62</v>
      </c>
      <c r="E5" s="10" t="s">
        <v>63</v>
      </c>
      <c r="F5" s="10" t="s">
        <v>64</v>
      </c>
      <c r="G5" s="9" t="s">
        <v>65</v>
      </c>
    </row>
    <row r="6" spans="1:7" ht="28.3">
      <c r="A6" s="10" t="s">
        <v>66</v>
      </c>
      <c r="B6" s="10" t="s">
        <v>67</v>
      </c>
      <c r="C6" s="10" t="s">
        <v>68</v>
      </c>
      <c r="D6" s="10" t="s">
        <v>69</v>
      </c>
      <c r="E6" s="10" t="s">
        <v>70</v>
      </c>
      <c r="F6" s="10" t="s">
        <v>71</v>
      </c>
      <c r="G6" s="9" t="s">
        <v>72</v>
      </c>
    </row>
    <row r="7" spans="1:7" ht="28.3">
      <c r="A7" s="10" t="s">
        <v>73</v>
      </c>
      <c r="B7" s="10" t="s">
        <v>74</v>
      </c>
      <c r="C7" s="10" t="s">
        <v>75</v>
      </c>
      <c r="D7" s="10" t="s">
        <v>76</v>
      </c>
      <c r="E7" s="10" t="s">
        <v>77</v>
      </c>
      <c r="F7" s="10" t="s">
        <v>78</v>
      </c>
      <c r="G7" s="9" t="s">
        <v>79</v>
      </c>
    </row>
    <row r="8" spans="1:7" ht="28.3">
      <c r="A8" s="10" t="s">
        <v>80</v>
      </c>
      <c r="B8" s="10" t="s">
        <v>81</v>
      </c>
      <c r="C8" s="10" t="s">
        <v>54</v>
      </c>
      <c r="D8" s="10" t="s">
        <v>82</v>
      </c>
      <c r="E8" s="10" t="s">
        <v>83</v>
      </c>
      <c r="F8" s="10" t="s">
        <v>84</v>
      </c>
      <c r="G8" s="9" t="s">
        <v>85</v>
      </c>
    </row>
    <row r="9" spans="1:7" ht="28.3">
      <c r="A9" s="10" t="s">
        <v>86</v>
      </c>
      <c r="B9" s="10" t="s">
        <v>81</v>
      </c>
      <c r="C9" s="10" t="s">
        <v>75</v>
      </c>
      <c r="D9" s="10" t="s">
        <v>76</v>
      </c>
      <c r="E9" s="10" t="s">
        <v>87</v>
      </c>
      <c r="F9" s="10" t="s">
        <v>88</v>
      </c>
      <c r="G9" s="9" t="s">
        <v>89</v>
      </c>
    </row>
    <row r="10" spans="1:7">
      <c r="A10" s="10" t="s">
        <v>90</v>
      </c>
      <c r="B10" s="10" t="s">
        <v>91</v>
      </c>
      <c r="C10" s="10" t="s">
        <v>75</v>
      </c>
      <c r="D10" s="10" t="s">
        <v>92</v>
      </c>
      <c r="E10" s="10" t="s">
        <v>93</v>
      </c>
      <c r="F10" s="10" t="s">
        <v>94</v>
      </c>
      <c r="G10" s="9" t="s">
        <v>24</v>
      </c>
    </row>
    <row r="11" spans="1:7" ht="28.3">
      <c r="A11" s="10" t="s">
        <v>95</v>
      </c>
      <c r="B11" s="10" t="s">
        <v>96</v>
      </c>
      <c r="C11" s="10" t="s">
        <v>75</v>
      </c>
      <c r="D11" s="10" t="s">
        <v>97</v>
      </c>
      <c r="E11" s="10" t="s">
        <v>98</v>
      </c>
      <c r="F11" s="10" t="s">
        <v>99</v>
      </c>
      <c r="G11" s="9" t="s">
        <v>100</v>
      </c>
    </row>
    <row r="12" spans="1:7" ht="42.45">
      <c r="A12" s="10" t="s">
        <v>101</v>
      </c>
      <c r="B12" s="10" t="s">
        <v>102</v>
      </c>
      <c r="C12" s="10" t="s">
        <v>103</v>
      </c>
      <c r="D12" s="10" t="s">
        <v>104</v>
      </c>
      <c r="E12" s="10" t="s">
        <v>105</v>
      </c>
      <c r="F12" s="10" t="s">
        <v>106</v>
      </c>
      <c r="G12" s="52" t="s">
        <v>107</v>
      </c>
    </row>
    <row r="13" spans="1:7">
      <c r="A13" s="74" t="s">
        <v>108</v>
      </c>
      <c r="B13" s="74"/>
      <c r="C13" s="74"/>
      <c r="D13" s="74"/>
      <c r="E13" s="74"/>
      <c r="F13" s="74"/>
      <c r="G13" s="74"/>
    </row>
    <row r="14" spans="1:7" ht="113.15">
      <c r="A14" s="10" t="s">
        <v>109</v>
      </c>
      <c r="B14" s="10" t="s">
        <v>110</v>
      </c>
      <c r="C14" s="10"/>
      <c r="D14" s="10"/>
      <c r="E14" s="10"/>
      <c r="F14" s="10"/>
      <c r="G14" s="10"/>
    </row>
    <row r="15" spans="1:7" ht="42.45">
      <c r="A15" s="10" t="s">
        <v>111</v>
      </c>
      <c r="B15" s="10" t="s">
        <v>112</v>
      </c>
      <c r="C15" s="10"/>
      <c r="D15" s="10"/>
      <c r="E15" s="10"/>
      <c r="F15" s="10"/>
      <c r="G15" s="10"/>
    </row>
    <row r="16" spans="1:7" ht="70.75">
      <c r="A16" s="10" t="s">
        <v>113</v>
      </c>
      <c r="B16" s="10" t="s">
        <v>114</v>
      </c>
      <c r="C16" s="10"/>
      <c r="D16" s="10"/>
      <c r="E16" s="10"/>
      <c r="F16" s="10"/>
      <c r="G16" s="10"/>
    </row>
    <row r="17" spans="1:7" ht="28.3">
      <c r="A17" s="10" t="s">
        <v>81</v>
      </c>
      <c r="B17" s="10" t="s">
        <v>115</v>
      </c>
      <c r="C17" s="10"/>
      <c r="D17" s="10"/>
      <c r="E17" s="10"/>
      <c r="F17" s="10"/>
      <c r="G17" s="10"/>
    </row>
    <row r="18" spans="1:7" ht="56.6">
      <c r="A18" s="10" t="s">
        <v>116</v>
      </c>
      <c r="B18" s="10" t="s">
        <v>117</v>
      </c>
      <c r="C18" s="10"/>
      <c r="D18" s="10"/>
      <c r="E18" s="10"/>
      <c r="F18" s="10"/>
      <c r="G18" s="10"/>
    </row>
    <row r="19" spans="1:7" ht="70.75">
      <c r="A19" s="44" t="s">
        <v>118</v>
      </c>
      <c r="B19" s="44" t="s">
        <v>119</v>
      </c>
      <c r="C19" s="44"/>
      <c r="D19" s="44"/>
      <c r="E19" s="44"/>
      <c r="F19" s="44"/>
      <c r="G19" s="44"/>
    </row>
    <row r="20" spans="1:7">
      <c r="A20" s="75" t="s">
        <v>120</v>
      </c>
      <c r="B20" s="75"/>
      <c r="C20" s="75"/>
      <c r="D20" s="75"/>
      <c r="E20" s="75"/>
      <c r="F20" s="75"/>
      <c r="G20" s="75"/>
    </row>
    <row r="21" spans="1:7" ht="42.45">
      <c r="A21" s="30" t="s">
        <v>121</v>
      </c>
      <c r="B21" s="30" t="s">
        <v>122</v>
      </c>
      <c r="C21" s="30" t="s">
        <v>123</v>
      </c>
      <c r="D21" s="30" t="s">
        <v>124</v>
      </c>
      <c r="E21" s="30" t="s">
        <v>125</v>
      </c>
      <c r="F21" s="30" t="s">
        <v>126</v>
      </c>
      <c r="G21" s="42" t="s">
        <v>127</v>
      </c>
    </row>
    <row r="22" spans="1:7" ht="42.45">
      <c r="A22" s="30" t="s">
        <v>128</v>
      </c>
      <c r="B22" s="30" t="s">
        <v>129</v>
      </c>
      <c r="C22" s="30" t="s">
        <v>123</v>
      </c>
      <c r="D22" s="30" t="s">
        <v>130</v>
      </c>
      <c r="E22" s="30" t="s">
        <v>131</v>
      </c>
      <c r="F22" s="30" t="s">
        <v>132</v>
      </c>
      <c r="G22" s="42" t="s">
        <v>133</v>
      </c>
    </row>
    <row r="23" spans="1:7" ht="42.45">
      <c r="A23" s="30" t="s">
        <v>134</v>
      </c>
      <c r="B23" s="30" t="s">
        <v>135</v>
      </c>
      <c r="C23" s="30" t="s">
        <v>123</v>
      </c>
      <c r="D23" s="30" t="s">
        <v>130</v>
      </c>
      <c r="E23" s="30" t="s">
        <v>136</v>
      </c>
      <c r="F23" s="30" t="s">
        <v>137</v>
      </c>
      <c r="G23" s="42" t="s">
        <v>138</v>
      </c>
    </row>
  </sheetData>
  <mergeCells count="3">
    <mergeCell ref="A1:G1"/>
    <mergeCell ref="A13:G13"/>
    <mergeCell ref="A20:G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6"/>
  <sheetViews>
    <sheetView workbookViewId="0"/>
  </sheetViews>
  <sheetFormatPr defaultRowHeight="14.15"/>
  <cols>
    <col min="1" max="1" width="11" customWidth="1"/>
    <col min="2" max="2" width="16" customWidth="1"/>
    <col min="3" max="3" width="15" customWidth="1"/>
    <col min="4" max="4" width="12" customWidth="1"/>
    <col min="5" max="10" width="13" customWidth="1"/>
  </cols>
  <sheetData>
    <row r="1" spans="1:10" ht="14.9" customHeight="1">
      <c r="A1" s="71" t="s">
        <v>139</v>
      </c>
      <c r="B1" s="71"/>
      <c r="C1" s="71"/>
      <c r="D1" s="71"/>
      <c r="E1" s="71"/>
      <c r="F1" s="71"/>
      <c r="G1" s="71"/>
      <c r="H1" s="71"/>
      <c r="I1" s="71"/>
      <c r="J1" s="71"/>
    </row>
    <row r="2" spans="1:10">
      <c r="A2" t="s">
        <v>140</v>
      </c>
      <c r="B2" s="76" t="s">
        <v>58</v>
      </c>
      <c r="C2" s="77"/>
      <c r="D2" s="77"/>
      <c r="E2" s="77"/>
      <c r="F2" s="77"/>
      <c r="G2" s="77"/>
      <c r="H2" s="77"/>
      <c r="I2" s="77"/>
      <c r="J2" s="77"/>
    </row>
    <row r="4" spans="1:10">
      <c r="A4" s="71" t="s">
        <v>141</v>
      </c>
      <c r="B4" s="71"/>
      <c r="C4" s="71"/>
      <c r="D4" s="71"/>
      <c r="E4" s="71"/>
      <c r="F4" s="71"/>
      <c r="G4" s="71"/>
      <c r="H4" s="71"/>
      <c r="I4" s="71"/>
      <c r="J4" s="71"/>
    </row>
    <row r="5" spans="1:10">
      <c r="A5" s="1" t="s">
        <v>142</v>
      </c>
      <c r="B5" s="1" t="s">
        <v>28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36</v>
      </c>
      <c r="J5" s="1" t="s">
        <v>37</v>
      </c>
    </row>
    <row r="6" spans="1:10" ht="28.3">
      <c r="A6" s="11"/>
      <c r="B6" s="11" t="s">
        <v>143</v>
      </c>
      <c r="C6" s="11" t="s">
        <v>143</v>
      </c>
      <c r="D6" s="11" t="s">
        <v>143</v>
      </c>
      <c r="E6" s="11" t="s">
        <v>143</v>
      </c>
      <c r="F6" s="11" t="s">
        <v>143</v>
      </c>
      <c r="G6" s="11" t="s">
        <v>143</v>
      </c>
      <c r="H6" s="11" t="s">
        <v>143</v>
      </c>
      <c r="I6" s="11" t="s">
        <v>143</v>
      </c>
      <c r="J6" s="11" t="s">
        <v>143</v>
      </c>
    </row>
    <row r="7" spans="1:10">
      <c r="A7" s="3">
        <v>2027</v>
      </c>
      <c r="B7" s="12">
        <v>1436</v>
      </c>
      <c r="C7" s="12">
        <v>1325</v>
      </c>
      <c r="D7" s="12">
        <v>2236</v>
      </c>
      <c r="E7" s="12">
        <v>9439</v>
      </c>
      <c r="F7" s="12">
        <v>2165</v>
      </c>
      <c r="G7" s="12">
        <v>1308</v>
      </c>
      <c r="H7" s="12">
        <v>782</v>
      </c>
      <c r="I7" s="12">
        <v>1347</v>
      </c>
      <c r="J7" s="12">
        <v>1912</v>
      </c>
    </row>
    <row r="8" spans="1:10">
      <c r="A8" s="3">
        <v>2028</v>
      </c>
      <c r="B8" s="12">
        <v>1439</v>
      </c>
      <c r="C8" s="12">
        <v>1319</v>
      </c>
      <c r="D8" s="12">
        <v>2272</v>
      </c>
      <c r="E8" s="12">
        <v>9450</v>
      </c>
      <c r="F8" s="12">
        <v>2180</v>
      </c>
      <c r="G8" s="12">
        <v>1289</v>
      </c>
      <c r="H8" s="12">
        <v>770</v>
      </c>
      <c r="I8" s="12">
        <v>1326</v>
      </c>
      <c r="J8" s="12">
        <v>1882</v>
      </c>
    </row>
    <row r="9" spans="1:10">
      <c r="A9" s="3">
        <v>2029</v>
      </c>
      <c r="B9" s="12">
        <v>1449</v>
      </c>
      <c r="C9" s="12">
        <v>1321</v>
      </c>
      <c r="D9" s="12">
        <v>2308</v>
      </c>
      <c r="E9" s="12">
        <v>9509</v>
      </c>
      <c r="F9" s="12">
        <v>2207</v>
      </c>
      <c r="G9" s="12">
        <v>1296</v>
      </c>
      <c r="H9" s="12">
        <v>772</v>
      </c>
      <c r="I9" s="12">
        <v>1329</v>
      </c>
      <c r="J9" s="12">
        <v>1887</v>
      </c>
    </row>
    <row r="10" spans="1:10">
      <c r="A10" s="3">
        <v>2030</v>
      </c>
      <c r="B10" s="12">
        <v>1466</v>
      </c>
      <c r="C10" s="12">
        <v>1331</v>
      </c>
      <c r="D10" s="12">
        <v>2344</v>
      </c>
      <c r="E10" s="12">
        <v>9598</v>
      </c>
      <c r="F10" s="12">
        <v>2242</v>
      </c>
      <c r="G10" s="12">
        <v>1306</v>
      </c>
      <c r="H10" s="12">
        <v>778</v>
      </c>
      <c r="I10" s="12">
        <v>1339</v>
      </c>
      <c r="J10" s="12">
        <v>1901</v>
      </c>
    </row>
    <row r="11" spans="1:10">
      <c r="A11" s="3">
        <v>2031</v>
      </c>
      <c r="B11" s="12">
        <v>1487</v>
      </c>
      <c r="C11" s="12">
        <v>1344</v>
      </c>
      <c r="D11" s="12">
        <v>2379</v>
      </c>
      <c r="E11" s="12">
        <v>9716</v>
      </c>
      <c r="F11" s="12">
        <v>2284</v>
      </c>
      <c r="G11" s="12">
        <v>1307</v>
      </c>
      <c r="H11" s="12">
        <v>786</v>
      </c>
      <c r="I11" s="12">
        <v>1352</v>
      </c>
      <c r="J11" s="12">
        <v>1920</v>
      </c>
    </row>
    <row r="12" spans="1:10">
      <c r="A12" s="3">
        <v>2032</v>
      </c>
      <c r="B12" s="12">
        <v>1508</v>
      </c>
      <c r="C12" s="12">
        <v>1357</v>
      </c>
      <c r="D12" s="12">
        <v>2417</v>
      </c>
      <c r="E12" s="12">
        <v>9831</v>
      </c>
      <c r="F12" s="12">
        <v>2325</v>
      </c>
      <c r="G12" s="12">
        <v>1311</v>
      </c>
      <c r="H12" s="12">
        <v>789</v>
      </c>
      <c r="I12" s="12">
        <v>1359</v>
      </c>
      <c r="J12" s="12">
        <v>1929</v>
      </c>
    </row>
    <row r="13" spans="1:10">
      <c r="A13" s="3">
        <v>2033</v>
      </c>
      <c r="B13" s="12">
        <v>1529</v>
      </c>
      <c r="C13" s="12">
        <v>1369</v>
      </c>
      <c r="D13" s="12">
        <v>2456</v>
      </c>
      <c r="E13" s="12">
        <v>9938</v>
      </c>
      <c r="F13" s="12">
        <v>2365</v>
      </c>
      <c r="G13" s="12">
        <v>1313</v>
      </c>
      <c r="H13" s="12">
        <v>795</v>
      </c>
      <c r="I13" s="12">
        <v>1368</v>
      </c>
      <c r="J13" s="12">
        <v>1942</v>
      </c>
    </row>
    <row r="14" spans="1:10">
      <c r="A14" s="3">
        <v>2034</v>
      </c>
      <c r="B14" s="12">
        <v>1540</v>
      </c>
      <c r="C14" s="12">
        <v>1364</v>
      </c>
      <c r="D14" s="12">
        <v>2494</v>
      </c>
      <c r="E14" s="12">
        <v>10033</v>
      </c>
      <c r="F14" s="12">
        <v>2403</v>
      </c>
      <c r="G14" s="12">
        <v>1312</v>
      </c>
      <c r="H14" s="12">
        <v>798</v>
      </c>
      <c r="I14" s="12">
        <v>1374</v>
      </c>
      <c r="J14" s="12">
        <v>1950</v>
      </c>
    </row>
    <row r="15" spans="1:10">
      <c r="A15" s="3">
        <v>2035</v>
      </c>
      <c r="B15" s="12">
        <v>1559</v>
      </c>
      <c r="C15" s="12">
        <v>1379</v>
      </c>
      <c r="D15" s="12">
        <v>2532</v>
      </c>
      <c r="E15" s="12">
        <v>10111</v>
      </c>
      <c r="F15" s="12">
        <v>2437</v>
      </c>
      <c r="G15" s="12">
        <v>1308</v>
      </c>
      <c r="H15" s="12">
        <v>802</v>
      </c>
      <c r="I15" s="12">
        <v>1381</v>
      </c>
      <c r="J15" s="12">
        <v>1960</v>
      </c>
    </row>
    <row r="16" spans="1:10">
      <c r="A16" s="3">
        <v>2036</v>
      </c>
      <c r="B16" s="12">
        <v>1581</v>
      </c>
      <c r="C16" s="12">
        <v>1395</v>
      </c>
      <c r="D16" s="12">
        <v>2568</v>
      </c>
      <c r="E16" s="12">
        <v>10201</v>
      </c>
      <c r="F16" s="12">
        <v>2475</v>
      </c>
      <c r="G16" s="12">
        <v>1308</v>
      </c>
      <c r="H16" s="12">
        <v>806</v>
      </c>
      <c r="I16" s="12">
        <v>1387</v>
      </c>
      <c r="J16" s="12">
        <v>1969</v>
      </c>
    </row>
    <row r="17" spans="1:10">
      <c r="A17" s="3">
        <v>2037</v>
      </c>
      <c r="B17" s="12">
        <v>1606</v>
      </c>
      <c r="C17" s="12">
        <v>1415</v>
      </c>
      <c r="D17" s="12">
        <v>2606</v>
      </c>
      <c r="E17" s="12">
        <v>10311</v>
      </c>
      <c r="F17" s="12">
        <v>2518</v>
      </c>
      <c r="G17" s="12">
        <v>1317</v>
      </c>
      <c r="H17" s="12">
        <v>810</v>
      </c>
      <c r="I17" s="12">
        <v>1394</v>
      </c>
      <c r="J17" s="12">
        <v>1979</v>
      </c>
    </row>
    <row r="18" spans="1:10">
      <c r="A18" s="3">
        <v>2038</v>
      </c>
      <c r="B18" s="12">
        <v>1633</v>
      </c>
      <c r="C18" s="12">
        <v>1437</v>
      </c>
      <c r="D18" s="12">
        <v>2645</v>
      </c>
      <c r="E18" s="12">
        <v>10425</v>
      </c>
      <c r="F18" s="12">
        <v>2563</v>
      </c>
      <c r="G18" s="12">
        <v>1328</v>
      </c>
      <c r="H18" s="12">
        <v>814</v>
      </c>
      <c r="I18" s="12">
        <v>1402</v>
      </c>
      <c r="J18" s="12">
        <v>1990</v>
      </c>
    </row>
    <row r="19" spans="1:10">
      <c r="A19" s="3">
        <v>2039</v>
      </c>
      <c r="B19" s="12">
        <v>1660</v>
      </c>
      <c r="C19" s="12">
        <v>1460</v>
      </c>
      <c r="D19" s="12">
        <v>2684</v>
      </c>
      <c r="E19" s="12">
        <v>10535</v>
      </c>
      <c r="F19" s="12">
        <v>2608</v>
      </c>
      <c r="G19" s="12">
        <v>1344</v>
      </c>
      <c r="H19" s="12">
        <v>819</v>
      </c>
      <c r="I19" s="12">
        <v>1410</v>
      </c>
      <c r="J19" s="12">
        <v>2002</v>
      </c>
    </row>
    <row r="20" spans="1:10">
      <c r="A20" s="3">
        <v>2040</v>
      </c>
      <c r="B20" s="12">
        <v>1688</v>
      </c>
      <c r="C20" s="12">
        <v>1482</v>
      </c>
      <c r="D20" s="12">
        <v>2725</v>
      </c>
      <c r="E20" s="12">
        <v>10647</v>
      </c>
      <c r="F20" s="12">
        <v>2654</v>
      </c>
      <c r="G20" s="12">
        <v>1361</v>
      </c>
      <c r="H20" s="12">
        <v>825</v>
      </c>
      <c r="I20" s="12">
        <v>1420</v>
      </c>
      <c r="J20" s="12">
        <v>2016</v>
      </c>
    </row>
    <row r="21" spans="1:10">
      <c r="A21" s="3">
        <v>2041</v>
      </c>
      <c r="B21" s="12">
        <v>1714</v>
      </c>
      <c r="C21" s="12">
        <v>1502</v>
      </c>
      <c r="D21" s="12">
        <v>2766</v>
      </c>
      <c r="E21" s="12">
        <v>10760</v>
      </c>
      <c r="F21" s="12">
        <v>2700</v>
      </c>
      <c r="G21" s="12">
        <v>1376</v>
      </c>
      <c r="H21" s="12">
        <v>829</v>
      </c>
      <c r="I21" s="12">
        <v>1428</v>
      </c>
      <c r="J21" s="12">
        <v>2027</v>
      </c>
    </row>
    <row r="24" spans="1:10">
      <c r="A24" s="71" t="s">
        <v>144</v>
      </c>
      <c r="B24" s="71"/>
      <c r="C24" s="71"/>
      <c r="D24" s="71"/>
      <c r="E24" s="71"/>
      <c r="F24" s="71"/>
      <c r="G24" s="71"/>
      <c r="H24" s="71"/>
      <c r="I24" s="71"/>
      <c r="J24" s="71"/>
    </row>
    <row r="25" spans="1:10">
      <c r="A25" s="1" t="s">
        <v>142</v>
      </c>
      <c r="B25" s="1" t="s">
        <v>28</v>
      </c>
      <c r="C25" s="1" t="s">
        <v>30</v>
      </c>
      <c r="D25" s="1" t="s">
        <v>31</v>
      </c>
      <c r="E25" s="1" t="s">
        <v>32</v>
      </c>
      <c r="F25" s="1" t="s">
        <v>33</v>
      </c>
      <c r="G25" s="1" t="s">
        <v>34</v>
      </c>
      <c r="H25" s="1" t="s">
        <v>35</v>
      </c>
      <c r="I25" s="1" t="s">
        <v>36</v>
      </c>
      <c r="J25" s="1" t="s">
        <v>37</v>
      </c>
    </row>
    <row r="26" spans="1:10">
      <c r="A26" s="11"/>
      <c r="B26" s="11" t="s">
        <v>145</v>
      </c>
      <c r="C26" s="11" t="s">
        <v>145</v>
      </c>
      <c r="D26" s="11" t="s">
        <v>145</v>
      </c>
      <c r="E26" s="11" t="s">
        <v>145</v>
      </c>
      <c r="F26" s="11" t="s">
        <v>145</v>
      </c>
      <c r="G26" s="11" t="s">
        <v>145</v>
      </c>
      <c r="H26" s="11" t="s">
        <v>145</v>
      </c>
      <c r="I26" s="11" t="s">
        <v>145</v>
      </c>
      <c r="J26" s="11" t="s">
        <v>145</v>
      </c>
    </row>
    <row r="27" spans="1:10">
      <c r="A27" s="6">
        <f t="shared" ref="A27:A41" si="0">A7</f>
        <v>2027</v>
      </c>
      <c r="B27" s="13">
        <f>B7/(1+Assumptions!$B$4)^(A27-Assumptions!$B$6)</f>
        <v>1374.8415485541186</v>
      </c>
      <c r="C27" s="13">
        <f>C7/(1+Assumptions!$B$4)^(A27-Assumptions!$B$6)</f>
        <v>1268.5689776004228</v>
      </c>
      <c r="D27" s="13">
        <f>D7/(1+Assumptions!$B$4)^(A27-Assumptions!$B$6)</f>
        <v>2140.7699878600342</v>
      </c>
      <c r="E27" s="13">
        <f>E7/(1+Assumptions!$B$4)^(A27-Assumptions!$B$6)</f>
        <v>9036.998173260672</v>
      </c>
      <c r="F27" s="13">
        <f>F7/(1+Assumptions!$B$4)^(A27-Assumptions!$B$6)</f>
        <v>2072.7938388716343</v>
      </c>
      <c r="G27" s="13">
        <f>G7/(1+Assumptions!$B$4)^(A27-Assumptions!$B$6)</f>
        <v>1252.2929982651722</v>
      </c>
      <c r="H27" s="13">
        <f>H7/(1+Assumptions!$B$4)^(A27-Assumptions!$B$6)</f>
        <v>748.69504942153253</v>
      </c>
      <c r="I27" s="13">
        <f>I7/(1+Assumptions!$B$4)^(A27-Assumptions!$B$6)</f>
        <v>1289.6320096813356</v>
      </c>
      <c r="J27" s="13">
        <f>J7/(1+Assumptions!$B$4)^(A27-Assumptions!$B$6)</f>
        <v>1830.5689699411384</v>
      </c>
    </row>
    <row r="28" spans="1:10">
      <c r="A28" s="6">
        <f t="shared" si="0"/>
        <v>2028</v>
      </c>
      <c r="B28" s="13">
        <f>B8/(1+Assumptions!$B$4)^(A28-Assumptions!$B$6)</f>
        <v>1348.0565364007005</v>
      </c>
      <c r="C28" s="13">
        <f>C8/(1+Assumptions!$B$4)^(A28-Assumptions!$B$6)</f>
        <v>1235.6404249565835</v>
      </c>
      <c r="D28" s="13">
        <f>D8/(1+Assumptions!$B$4)^(A28-Assumptions!$B$6)</f>
        <v>2128.411710008611</v>
      </c>
      <c r="E28" s="13">
        <f>E8/(1+Assumptions!$B$4)^(A28-Assumptions!$B$6)</f>
        <v>8852.7687762241967</v>
      </c>
      <c r="F28" s="13">
        <f>F8/(1+Assumptions!$B$4)^(A28-Assumptions!$B$6)</f>
        <v>2042.2260245681214</v>
      </c>
      <c r="G28" s="13">
        <f>G8/(1+Assumptions!$B$4)^(A28-Assumptions!$B$6)</f>
        <v>1207.5363970955543</v>
      </c>
      <c r="H28" s="13">
        <f>H8/(1+Assumptions!$B$4)^(A28-Assumptions!$B$6)</f>
        <v>721.33671509974931</v>
      </c>
      <c r="I28" s="13">
        <f>I8/(1+Assumptions!$B$4)^(A28-Assumptions!$B$6)</f>
        <v>1242.1980314574903</v>
      </c>
      <c r="J28" s="13">
        <f>J8/(1+Assumptions!$B$4)^(A28-Assumptions!$B$6)</f>
        <v>1763.0593478152314</v>
      </c>
    </row>
    <row r="29" spans="1:10">
      <c r="A29" s="6">
        <f t="shared" si="0"/>
        <v>2029</v>
      </c>
      <c r="B29" s="13">
        <f>B9/(1+Assumptions!$B$4)^(A29-Assumptions!$B$6)</f>
        <v>1328.2040564459003</v>
      </c>
      <c r="C29" s="13">
        <f>C9/(1+Assumptions!$B$4)^(A29-Assumptions!$B$6)</f>
        <v>1210.8747816183811</v>
      </c>
      <c r="D29" s="13">
        <f>D9/(1+Assumptions!$B$4)^(A29-Assumptions!$B$6)</f>
        <v>2115.5934867337046</v>
      </c>
      <c r="E29" s="13">
        <f>E9/(1+Assumptions!$B$4)^(A29-Assumptions!$B$6)</f>
        <v>8716.2818307412454</v>
      </c>
      <c r="F29" s="13">
        <f>F9/(1+Assumptions!$B$4)^(A29-Assumptions!$B$6)</f>
        <v>2023.0133558151151</v>
      </c>
      <c r="G29" s="13">
        <f>G9/(1+Assumptions!$B$4)^(A29-Assumptions!$B$6)</f>
        <v>1187.9589076286313</v>
      </c>
      <c r="H29" s="13">
        <f>H9/(1+Assumptions!$B$4)^(A29-Assumptions!$B$6)</f>
        <v>707.64218880347482</v>
      </c>
      <c r="I29" s="13">
        <f>I9/(1+Assumptions!$B$4)^(A29-Assumptions!$B$6)</f>
        <v>1218.2078612951011</v>
      </c>
      <c r="J29" s="13">
        <f>J9/(1+Assumptions!$B$4)^(A29-Assumptions!$B$6)</f>
        <v>1729.6901687463173</v>
      </c>
    </row>
    <row r="30" spans="1:10">
      <c r="A30" s="6">
        <f t="shared" si="0"/>
        <v>2030</v>
      </c>
      <c r="B30" s="13">
        <f>B10/(1+Assumptions!$B$4)^(A30-Assumptions!$B$6)</f>
        <v>1314.8599322494424</v>
      </c>
      <c r="C30" s="13">
        <f>C10/(1+Assumptions!$B$4)^(A30-Assumptions!$B$6)</f>
        <v>1193.7780148867721</v>
      </c>
      <c r="D30" s="13">
        <f>D10/(1+Assumptions!$B$4)^(A30-Assumptions!$B$6)</f>
        <v>2102.3408466525875</v>
      </c>
      <c r="E30" s="13">
        <f>E10/(1+Assumptions!$B$4)^(A30-Assumptions!$B$6)</f>
        <v>8608.4758729400746</v>
      </c>
      <c r="F30" s="13">
        <f>F10/(1+Assumptions!$B$4)^(A30-Assumptions!$B$6)</f>
        <v>2010.8567313119031</v>
      </c>
      <c r="G30" s="13">
        <f>G10/(1+Assumptions!$B$4)^(A30-Assumptions!$B$6)</f>
        <v>1171.3554375973886</v>
      </c>
      <c r="H30" s="13">
        <f>H10/(1+Assumptions!$B$4)^(A30-Assumptions!$B$6)</f>
        <v>697.79060524561135</v>
      </c>
      <c r="I30" s="13">
        <f>I10/(1+Assumptions!$B$4)^(A30-Assumptions!$B$6)</f>
        <v>1200.9532396193747</v>
      </c>
      <c r="J30" s="13">
        <f>J10/(1+Assumptions!$B$4)^(A30-Assumptions!$B$6)</f>
        <v>1705.0127770847134</v>
      </c>
    </row>
    <row r="31" spans="1:10">
      <c r="A31" s="6">
        <f t="shared" si="0"/>
        <v>2031</v>
      </c>
      <c r="B31" s="13">
        <f>B11/(1+Assumptions!$B$4)^(A31-Assumptions!$B$6)</f>
        <v>1304.9852222823138</v>
      </c>
      <c r="C31" s="13">
        <f>C11/(1+Assumptions!$B$4)^(A31-Assumptions!$B$6)</f>
        <v>1179.4889971401678</v>
      </c>
      <c r="D31" s="13">
        <f>D11/(1+Assumptions!$B$4)^(A31-Assumptions!$B$6)</f>
        <v>2087.800836455699</v>
      </c>
      <c r="E31" s="13">
        <f>E11/(1+Assumptions!$B$4)^(A31-Assumptions!$B$6)</f>
        <v>8526.7225418257967</v>
      </c>
      <c r="F31" s="13">
        <f>F11/(1+Assumptions!$B$4)^(A31-Assumptions!$B$6)</f>
        <v>2004.4292183542734</v>
      </c>
      <c r="G31" s="13">
        <f>G11/(1+Assumptions!$B$4)^(A31-Assumptions!$B$6)</f>
        <v>1147.0179458796126</v>
      </c>
      <c r="H31" s="13">
        <f>H11/(1+Assumptions!$B$4)^(A31-Assumptions!$B$6)</f>
        <v>689.79044029179454</v>
      </c>
      <c r="I31" s="13">
        <f>I11/(1+Assumptions!$B$4)^(A31-Assumptions!$B$6)</f>
        <v>1186.5097649802879</v>
      </c>
      <c r="J31" s="13">
        <f>J11/(1+Assumptions!$B$4)^(A31-Assumptions!$B$6)</f>
        <v>1684.9842816288112</v>
      </c>
    </row>
    <row r="32" spans="1:10">
      <c r="A32" s="6">
        <f t="shared" si="0"/>
        <v>2032</v>
      </c>
      <c r="B32" s="13">
        <f>B12/(1+Assumptions!$B$4)^(A32-Assumptions!$B$6)</f>
        <v>1294.9263579869166</v>
      </c>
      <c r="C32" s="13">
        <f>C12/(1+Assumptions!$B$4)^(A32-Assumptions!$B$6)</f>
        <v>1165.2619812919402</v>
      </c>
      <c r="D32" s="13">
        <f>D12/(1+Assumptions!$B$4)^(A32-Assumptions!$B$6)</f>
        <v>2075.4887316010459</v>
      </c>
      <c r="E32" s="13">
        <f>E12/(1+Assumptions!$B$4)^(A32-Assumptions!$B$6)</f>
        <v>8441.9237568762437</v>
      </c>
      <c r="F32" s="13">
        <f>F12/(1+Assumptions!$B$4)^(A32-Assumptions!$B$6)</f>
        <v>1996.4879193100669</v>
      </c>
      <c r="G32" s="13">
        <f>G12/(1+Assumptions!$B$4)^(A32-Assumptions!$B$6)</f>
        <v>1125.7615751464507</v>
      </c>
      <c r="H32" s="13">
        <f>H12/(1+Assumptions!$B$4)^(A32-Assumptions!$B$6)</f>
        <v>677.51783584328723</v>
      </c>
      <c r="I32" s="13">
        <f>I12/(1+Assumptions!$B$4)^(A32-Assumptions!$B$6)</f>
        <v>1166.9793902547876</v>
      </c>
      <c r="J32" s="13">
        <f>J12/(1+Assumptions!$B$4)^(A32-Assumptions!$B$6)</f>
        <v>1656.4409446662878</v>
      </c>
    </row>
    <row r="33" spans="1:10">
      <c r="A33" s="6">
        <f t="shared" si="0"/>
        <v>2033</v>
      </c>
      <c r="B33" s="13">
        <f>B13/(1+Assumptions!$B$4)^(A33-Assumptions!$B$6)</f>
        <v>1284.6958435389568</v>
      </c>
      <c r="C33" s="13">
        <f>C13/(1+Assumptions!$B$4)^(A33-Assumptions!$B$6)</f>
        <v>1150.260699676149</v>
      </c>
      <c r="D33" s="13">
        <f>D13/(1+Assumptions!$B$4)^(A33-Assumptions!$B$6)</f>
        <v>2063.5794582940994</v>
      </c>
      <c r="E33" s="13">
        <f>E13/(1+Assumptions!$B$4)^(A33-Assumptions!$B$6)</f>
        <v>8350.1028731786482</v>
      </c>
      <c r="F33" s="13">
        <f>F13/(1+Assumptions!$B$4)^(A33-Assumptions!$B$6)</f>
        <v>1987.1194702221273</v>
      </c>
      <c r="G33" s="13">
        <f>G13/(1+Assumptions!$B$4)^(A33-Assumptions!$B$6)</f>
        <v>1103.2083993241663</v>
      </c>
      <c r="H33" s="13">
        <f>H13/(1+Assumptions!$B$4)^(A33-Assumptions!$B$6)</f>
        <v>667.97462106832609</v>
      </c>
      <c r="I33" s="13">
        <f>I13/(1+Assumptions!$B$4)^(A33-Assumptions!$B$6)</f>
        <v>1149.4204800270063</v>
      </c>
      <c r="J33" s="13">
        <f>J13/(1+Assumptions!$B$4)^(A33-Assumptions!$B$6)</f>
        <v>1631.7065586348292</v>
      </c>
    </row>
    <row r="34" spans="1:10">
      <c r="A34" s="6">
        <f t="shared" si="0"/>
        <v>2034</v>
      </c>
      <c r="B34" s="13">
        <f>B14/(1+Assumptions!$B$4)^(A34-Assumptions!$B$6)</f>
        <v>1266.0844028175391</v>
      </c>
      <c r="C34" s="13">
        <f>C14/(1+Assumptions!$B$4)^(A34-Assumptions!$B$6)</f>
        <v>1121.3890424955346</v>
      </c>
      <c r="D34" s="13">
        <f>D14/(1+Assumptions!$B$4)^(A34-Assumptions!$B$6)</f>
        <v>2050.3990263811311</v>
      </c>
      <c r="E34" s="13">
        <f>E14/(1+Assumptions!$B$4)^(A34-Assumptions!$B$6)</f>
        <v>8248.4576710833553</v>
      </c>
      <c r="F34" s="13">
        <f>F14/(1+Assumptions!$B$4)^(A34-Assumptions!$B$6)</f>
        <v>1975.5849480328222</v>
      </c>
      <c r="G34" s="13">
        <f>G14/(1+Assumptions!$B$4)^(A34-Assumptions!$B$6)</f>
        <v>1078.6381405822151</v>
      </c>
      <c r="H34" s="13">
        <f>H14/(1+Assumptions!$B$4)^(A34-Assumptions!$B$6)</f>
        <v>656.06191782363385</v>
      </c>
      <c r="I34" s="13">
        <f>I14/(1+Assumptions!$B$4)^(A34-Assumptions!$B$6)</f>
        <v>1129.6103697865574</v>
      </c>
      <c r="J34" s="13">
        <f>J14/(1+Assumptions!$B$4)^(A34-Assumptions!$B$6)</f>
        <v>1603.1588217494811</v>
      </c>
    </row>
    <row r="35" spans="1:10">
      <c r="A35" s="6">
        <f t="shared" si="0"/>
        <v>2035</v>
      </c>
      <c r="B35" s="13">
        <f>B15/(1+Assumptions!$B$4)^(A35-Assumptions!$B$6)</f>
        <v>1254.1144077010592</v>
      </c>
      <c r="C35" s="13">
        <f>C15/(1+Assumptions!$B$4)^(A35-Assumptions!$B$6)</f>
        <v>1109.3160796791281</v>
      </c>
      <c r="D35" s="13">
        <f>D15/(1+Assumptions!$B$4)^(A35-Assumptions!$B$6)</f>
        <v>2036.829814175165</v>
      </c>
      <c r="E35" s="13">
        <f>E15/(1+Assumptions!$B$4)^(A35-Assumptions!$B$6)</f>
        <v>8133.6438590541438</v>
      </c>
      <c r="F35" s="13">
        <f>F15/(1+Assumptions!$B$4)^(A35-Assumptions!$B$6)</f>
        <v>1960.4084743858125</v>
      </c>
      <c r="G35" s="13">
        <f>G15/(1+Assumptions!$B$4)^(A35-Assumptions!$B$6)</f>
        <v>1052.2011836260331</v>
      </c>
      <c r="H35" s="13">
        <f>H15/(1+Assumptions!$B$4)^(A35-Assumptions!$B$6)</f>
        <v>645.15699485327104</v>
      </c>
      <c r="I35" s="13">
        <f>I15/(1+Assumptions!$B$4)^(A35-Assumptions!$B$6)</f>
        <v>1110.9249499904829</v>
      </c>
      <c r="J35" s="13">
        <f>J15/(1+Assumptions!$B$4)^(A35-Assumptions!$B$6)</f>
        <v>1576.6929051276948</v>
      </c>
    </row>
    <row r="36" spans="1:10">
      <c r="A36" s="6">
        <f t="shared" si="0"/>
        <v>2036</v>
      </c>
      <c r="B36" s="13">
        <f>B16/(1+Assumptions!$B$4)^(A36-Assumptions!$B$6)</f>
        <v>1244.4344238023111</v>
      </c>
      <c r="C36" s="13">
        <f>C16/(1+Assumptions!$B$4)^(A36-Assumptions!$B$6)</f>
        <v>1098.0303739432156</v>
      </c>
      <c r="D36" s="13">
        <f>D16/(1+Assumptions!$B$4)^(A36-Assumptions!$B$6)</f>
        <v>2021.3204303126722</v>
      </c>
      <c r="E36" s="13">
        <f>E16/(1+Assumptions!$B$4)^(A36-Assumptions!$B$6)</f>
        <v>8029.396304368991</v>
      </c>
      <c r="F36" s="13">
        <f>F16/(1+Assumptions!$B$4)^(A36-Assumptions!$B$6)</f>
        <v>1948.1184053831246</v>
      </c>
      <c r="G36" s="13">
        <f>G16/(1+Assumptions!$B$4)^(A36-Assumptions!$B$6)</f>
        <v>1029.5510602994452</v>
      </c>
      <c r="H36" s="13">
        <f>H16/(1+Assumptions!$B$4)^(A36-Assumptions!$B$6)</f>
        <v>634.41754938941347</v>
      </c>
      <c r="I36" s="13">
        <f>I16/(1+Assumptions!$B$4)^(A36-Assumptions!$B$6)</f>
        <v>1091.7334255621793</v>
      </c>
      <c r="J36" s="13">
        <f>J16/(1+Assumptions!$B$4)^(A36-Assumptions!$B$6)</f>
        <v>1549.8364202825746</v>
      </c>
    </row>
    <row r="37" spans="1:10">
      <c r="A37" s="6">
        <f t="shared" si="0"/>
        <v>2037</v>
      </c>
      <c r="B37" s="13">
        <f>B17/(1+Assumptions!$B$4)^(A37-Assumptions!$B$6)</f>
        <v>1236.9005748464283</v>
      </c>
      <c r="C37" s="13">
        <f>C17/(1+Assumptions!$B$4)^(A37-Assumptions!$B$6)</f>
        <v>1089.797206355975</v>
      </c>
      <c r="D37" s="13">
        <f>D17/(1+Assumptions!$B$4)^(A37-Assumptions!$B$6)</f>
        <v>2007.0752789849266</v>
      </c>
      <c r="E37" s="13">
        <f>E17/(1+Assumptions!$B$4)^(A37-Assumptions!$B$6)</f>
        <v>7941.271374372056</v>
      </c>
      <c r="F37" s="13">
        <f>F17/(1+Assumptions!$B$4)^(A37-Assumptions!$B$6)</f>
        <v>1939.2999050207388</v>
      </c>
      <c r="G37" s="13">
        <f>G17/(1+Assumptions!$B$4)^(A37-Assumptions!$B$6)</f>
        <v>1014.3200853504022</v>
      </c>
      <c r="H37" s="13">
        <f>H17/(1+Assumptions!$B$4)^(A37-Assumptions!$B$6)</f>
        <v>623.8415103521836</v>
      </c>
      <c r="I37" s="13">
        <f>I17/(1+Assumptions!$B$4)^(A37-Assumptions!$B$6)</f>
        <v>1073.6235375690667</v>
      </c>
      <c r="J37" s="13">
        <f>J17/(1+Assumptions!$B$4)^(A37-Assumptions!$B$6)</f>
        <v>1524.1757394900881</v>
      </c>
    </row>
    <row r="38" spans="1:10">
      <c r="A38" s="6">
        <f t="shared" si="0"/>
        <v>2038</v>
      </c>
      <c r="B38" s="13">
        <f>B18/(1+Assumptions!$B$4)^(A38-Assumptions!$B$6)</f>
        <v>1230.621616299577</v>
      </c>
      <c r="C38" s="13">
        <f>C18/(1+Assumptions!$B$4)^(A38-Assumptions!$B$6)</f>
        <v>1082.9168785195911</v>
      </c>
      <c r="D38" s="13">
        <f>D18/(1+Assumptions!$B$4)^(A38-Assumptions!$B$6)</f>
        <v>1993.2603644288924</v>
      </c>
      <c r="E38" s="13">
        <f>E18/(1+Assumptions!$B$4)^(A38-Assumptions!$B$6)</f>
        <v>7856.2341395732337</v>
      </c>
      <c r="F38" s="13">
        <f>F18/(1+Assumptions!$B$4)^(A38-Assumptions!$B$6)</f>
        <v>1931.4655251535921</v>
      </c>
      <c r="G38" s="13">
        <f>G18/(1+Assumptions!$B$4)^(A38-Assumptions!$B$6)</f>
        <v>1000.7749580194968</v>
      </c>
      <c r="H38" s="13">
        <f>H18/(1+Assumptions!$B$4)^(A38-Assumptions!$B$6)</f>
        <v>613.42681914749278</v>
      </c>
      <c r="I38" s="13">
        <f>I18/(1+Assumptions!$B$4)^(A38-Assumptions!$B$6)</f>
        <v>1056.5410324874506</v>
      </c>
      <c r="J38" s="13">
        <f>J18/(1+Assumptions!$B$4)^(A38-Assumptions!$B$6)</f>
        <v>1499.6552458274086</v>
      </c>
    </row>
    <row r="39" spans="1:10">
      <c r="A39" s="6">
        <f t="shared" si="0"/>
        <v>2039</v>
      </c>
      <c r="B39" s="13">
        <f>B19/(1+Assumptions!$B$4)^(A39-Assumptions!$B$6)</f>
        <v>1224.039821452418</v>
      </c>
      <c r="C39" s="13">
        <f>C19/(1+Assumptions!$B$4)^(A39-Assumptions!$B$6)</f>
        <v>1076.565144168994</v>
      </c>
      <c r="D39" s="13">
        <f>D19/(1+Assumptions!$B$4)^(A39-Assumptions!$B$6)</f>
        <v>1979.1101691435481</v>
      </c>
      <c r="E39" s="13">
        <f>E19/(1+Assumptions!$B$4)^(A39-Assumptions!$B$6)</f>
        <v>7768.2286259043512</v>
      </c>
      <c r="F39" s="13">
        <f>F19/(1+Assumptions!$B$4)^(A39-Assumptions!$B$6)</f>
        <v>1923.0697917758471</v>
      </c>
      <c r="G39" s="13">
        <f>G19/(1+Assumptions!$B$4)^(A39-Assumptions!$B$6)</f>
        <v>991.02983134460828</v>
      </c>
      <c r="H39" s="13">
        <f>H19/(1+Assumptions!$B$4)^(A39-Assumptions!$B$6)</f>
        <v>603.90880347562063</v>
      </c>
      <c r="I39" s="13">
        <f>I19/(1+Assumptions!$B$4)^(A39-Assumptions!$B$6)</f>
        <v>1039.6964748481382</v>
      </c>
      <c r="J39" s="13">
        <f>J19/(1+Assumptions!$B$4)^(A39-Assumptions!$B$6)</f>
        <v>1476.2215196070729</v>
      </c>
    </row>
    <row r="40" spans="1:10">
      <c r="A40" s="6">
        <f t="shared" si="0"/>
        <v>2040</v>
      </c>
      <c r="B40" s="13">
        <f>B20/(1+Assumptions!$B$4)^(A40-Assumptions!$B$6)</f>
        <v>1217.8926382310149</v>
      </c>
      <c r="C40" s="13">
        <f>C20/(1+Assumptions!$B$4)^(A40-Assumptions!$B$6)</f>
        <v>1069.2635603426327</v>
      </c>
      <c r="D40" s="13">
        <f>D20/(1+Assumptions!$B$4)^(A40-Assumptions!$B$6)</f>
        <v>1966.088530319618</v>
      </c>
      <c r="E40" s="13">
        <f>E20/(1+Assumptions!$B$4)^(A40-Assumptions!$B$6)</f>
        <v>7681.8145256194402</v>
      </c>
      <c r="F40" s="13">
        <f>F20/(1+Assumptions!$B$4)^(A40-Assumptions!$B$6)</f>
        <v>1914.8620034745932</v>
      </c>
      <c r="G40" s="13">
        <f>G20/(1+Assumptions!$B$4)^(A40-Assumptions!$B$6)</f>
        <v>981.96201459266069</v>
      </c>
      <c r="H40" s="13">
        <f>H20/(1+Assumptions!$B$4)^(A40-Assumptions!$B$6)</f>
        <v>595.23781193162756</v>
      </c>
      <c r="I40" s="13">
        <f>I20/(1+Assumptions!$B$4)^(A40-Assumptions!$B$6)</f>
        <v>1024.5305369004982</v>
      </c>
      <c r="J40" s="13">
        <f>J20/(1+Assumptions!$B$4)^(A40-Assumptions!$B$6)</f>
        <v>1454.544762247468</v>
      </c>
    </row>
    <row r="41" spans="1:10">
      <c r="A41" s="6">
        <f t="shared" si="0"/>
        <v>2041</v>
      </c>
      <c r="B41" s="13">
        <f>B21/(1+Assumptions!$B$4)^(A41-Assumptions!$B$6)</f>
        <v>1210.0309667921597</v>
      </c>
      <c r="C41" s="13">
        <f>C21/(1+Assumptions!$B$4)^(A41-Assumptions!$B$6)</f>
        <v>1060.3655263254516</v>
      </c>
      <c r="D41" s="13">
        <f>D21/(1+Assumptions!$B$4)^(A41-Assumptions!$B$6)</f>
        <v>1952.710416655259</v>
      </c>
      <c r="E41" s="13">
        <f>E21/(1+Assumptions!$B$4)^(A41-Assumptions!$B$6)</f>
        <v>7596.2270727442474</v>
      </c>
      <c r="F41" s="13">
        <f>F21/(1+Assumptions!$B$4)^(A41-Assumptions!$B$6)</f>
        <v>1906.1164587741141</v>
      </c>
      <c r="G41" s="13">
        <f>G21/(1+Assumptions!$B$4)^(A41-Assumptions!$B$6)</f>
        <v>971.41342491599289</v>
      </c>
      <c r="H41" s="13">
        <f>H21/(1+Assumptions!$B$4)^(A41-Assumptions!$B$6)</f>
        <v>585.24834974953353</v>
      </c>
      <c r="I41" s="13">
        <f>I21/(1+Assumptions!$B$4)^(A41-Assumptions!$B$6)</f>
        <v>1008.1238159738648</v>
      </c>
      <c r="J41" s="13">
        <f>J21/(1+Assumptions!$B$4)^(A41-Assumptions!$B$6)</f>
        <v>1430.9992821981959</v>
      </c>
    </row>
    <row r="43" spans="1:10">
      <c r="A43" s="71" t="s">
        <v>146</v>
      </c>
      <c r="B43" s="71"/>
      <c r="C43" s="71"/>
      <c r="D43" s="71"/>
      <c r="E43" s="71"/>
      <c r="F43" s="71"/>
      <c r="G43" s="71"/>
      <c r="H43" s="71"/>
      <c r="I43" s="71"/>
      <c r="J43" s="71"/>
    </row>
    <row r="44" spans="1:10" ht="13.75" customHeight="1">
      <c r="A44" s="73" t="s">
        <v>147</v>
      </c>
      <c r="B44" s="73"/>
      <c r="C44" s="73"/>
      <c r="D44" s="73"/>
      <c r="E44" s="73"/>
      <c r="F44" s="73"/>
      <c r="G44" s="73"/>
      <c r="H44" s="73"/>
      <c r="I44" s="73"/>
      <c r="J44" s="73"/>
    </row>
    <row r="45" spans="1:10" ht="13.75" customHeight="1">
      <c r="A45" s="73" t="s">
        <v>148</v>
      </c>
      <c r="B45" s="73"/>
      <c r="C45" s="73"/>
      <c r="D45" s="73"/>
      <c r="E45" s="73"/>
      <c r="F45" s="73"/>
      <c r="G45" s="73"/>
      <c r="H45" s="73"/>
      <c r="I45" s="73"/>
      <c r="J45" s="73"/>
    </row>
    <row r="46" spans="1:10" ht="13.75" customHeight="1">
      <c r="A46" s="73" t="s">
        <v>149</v>
      </c>
      <c r="B46" s="73"/>
      <c r="C46" s="73"/>
      <c r="D46" s="73"/>
      <c r="E46" s="73"/>
      <c r="F46" s="73"/>
      <c r="G46" s="73"/>
      <c r="H46" s="73"/>
      <c r="I46" s="73"/>
      <c r="J46" s="73"/>
    </row>
  </sheetData>
  <mergeCells count="8">
    <mergeCell ref="A44:J44"/>
    <mergeCell ref="A45:J45"/>
    <mergeCell ref="A46:J46"/>
    <mergeCell ref="A1:J1"/>
    <mergeCell ref="B2:J2"/>
    <mergeCell ref="A4:J4"/>
    <mergeCell ref="A24:J24"/>
    <mergeCell ref="A43:J4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"/>
  <sheetViews>
    <sheetView workbookViewId="0"/>
  </sheetViews>
  <sheetFormatPr defaultRowHeight="14.15"/>
  <cols>
    <col min="1" max="1" width="29" customWidth="1"/>
    <col min="2" max="2" width="14" customWidth="1"/>
    <col min="3" max="4" width="12" customWidth="1"/>
    <col min="5" max="6" width="19" customWidth="1"/>
    <col min="7" max="7" width="21" customWidth="1"/>
    <col min="8" max="8" width="17" customWidth="1"/>
    <col min="9" max="9" width="16" customWidth="1"/>
    <col min="10" max="10" width="20" customWidth="1"/>
    <col min="11" max="11" width="48" customWidth="1"/>
    <col min="12" max="12" width="58" customWidth="1"/>
  </cols>
  <sheetData>
    <row r="1" spans="1:12" ht="14.9" customHeight="1">
      <c r="A1" s="71" t="s">
        <v>150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2">
      <c r="A2" t="s">
        <v>140</v>
      </c>
      <c r="B2" s="76" t="s">
        <v>65</v>
      </c>
      <c r="C2" s="77"/>
      <c r="D2" s="77"/>
      <c r="E2" s="77"/>
      <c r="F2" s="77"/>
      <c r="G2" s="77"/>
      <c r="H2" s="77"/>
      <c r="I2" s="77"/>
      <c r="J2" s="77"/>
      <c r="K2" s="77"/>
      <c r="L2" s="77"/>
    </row>
    <row r="4" spans="1:12" ht="19.399999999999999" customHeight="1">
      <c r="A4" s="1" t="s">
        <v>25</v>
      </c>
      <c r="B4" s="1" t="s">
        <v>151</v>
      </c>
      <c r="C4" s="1" t="s">
        <v>152</v>
      </c>
      <c r="D4" s="1" t="s">
        <v>153</v>
      </c>
      <c r="E4" s="1" t="s">
        <v>154</v>
      </c>
      <c r="F4" s="1" t="s">
        <v>155</v>
      </c>
      <c r="G4" s="1" t="s">
        <v>156</v>
      </c>
      <c r="H4" s="1" t="s">
        <v>157</v>
      </c>
      <c r="I4" s="1" t="s">
        <v>158</v>
      </c>
      <c r="J4" s="1" t="s">
        <v>159</v>
      </c>
      <c r="K4" s="1" t="s">
        <v>146</v>
      </c>
      <c r="L4" s="1" t="s">
        <v>23</v>
      </c>
    </row>
    <row r="5" spans="1:12">
      <c r="A5" s="3" t="s">
        <v>160</v>
      </c>
      <c r="B5" s="14">
        <v>2028</v>
      </c>
      <c r="C5" s="14">
        <v>627</v>
      </c>
      <c r="D5" s="14">
        <v>3</v>
      </c>
      <c r="E5" s="14">
        <v>1086</v>
      </c>
      <c r="F5" s="14">
        <v>1086</v>
      </c>
      <c r="G5" s="14">
        <v>980</v>
      </c>
      <c r="H5" s="14">
        <v>16.23</v>
      </c>
      <c r="I5" s="14">
        <v>3.49</v>
      </c>
      <c r="J5" s="14">
        <v>6226</v>
      </c>
      <c r="K5" s="3" t="s">
        <v>161</v>
      </c>
      <c r="L5" s="9" t="s">
        <v>65</v>
      </c>
    </row>
    <row r="6" spans="1:12">
      <c r="A6" s="3" t="s">
        <v>28</v>
      </c>
      <c r="B6" s="14">
        <v>2028</v>
      </c>
      <c r="C6" s="14">
        <v>1227</v>
      </c>
      <c r="D6" s="14">
        <v>3</v>
      </c>
      <c r="E6" s="14">
        <v>1032</v>
      </c>
      <c r="F6" s="14">
        <v>1032</v>
      </c>
      <c r="G6" s="14">
        <v>930</v>
      </c>
      <c r="H6" s="14">
        <v>12.69</v>
      </c>
      <c r="I6" s="14">
        <v>3.57</v>
      </c>
      <c r="J6" s="14">
        <v>6226</v>
      </c>
      <c r="K6" s="3" t="s">
        <v>162</v>
      </c>
      <c r="L6" s="9" t="s">
        <v>65</v>
      </c>
    </row>
    <row r="7" spans="1:12">
      <c r="A7" s="3" t="s">
        <v>163</v>
      </c>
      <c r="B7" s="14">
        <v>2029</v>
      </c>
      <c r="C7" s="14">
        <v>543</v>
      </c>
      <c r="D7" s="14">
        <v>4</v>
      </c>
      <c r="E7" s="14">
        <v>2567</v>
      </c>
      <c r="F7" s="14">
        <v>2824</v>
      </c>
      <c r="G7" s="14">
        <v>2504</v>
      </c>
      <c r="H7" s="14">
        <v>25.93</v>
      </c>
      <c r="I7" s="14">
        <v>5.29</v>
      </c>
      <c r="J7" s="14">
        <v>7239</v>
      </c>
      <c r="K7" s="3"/>
      <c r="L7" s="9" t="s">
        <v>65</v>
      </c>
    </row>
    <row r="8" spans="1:12">
      <c r="A8" s="3" t="s">
        <v>164</v>
      </c>
      <c r="B8" s="14">
        <v>2027</v>
      </c>
      <c r="C8" s="14">
        <v>211</v>
      </c>
      <c r="D8" s="14">
        <v>2</v>
      </c>
      <c r="E8" s="14">
        <v>2275</v>
      </c>
      <c r="F8" s="14">
        <v>2275</v>
      </c>
      <c r="G8" s="14">
        <v>2058</v>
      </c>
      <c r="H8" s="14">
        <v>9.99</v>
      </c>
      <c r="I8" s="14">
        <v>5.97</v>
      </c>
      <c r="J8" s="14">
        <v>9447</v>
      </c>
      <c r="K8" s="3"/>
      <c r="L8" s="9" t="s">
        <v>65</v>
      </c>
    </row>
    <row r="9" spans="1:12">
      <c r="A9" s="3" t="s">
        <v>165</v>
      </c>
      <c r="B9" s="14">
        <v>2027</v>
      </c>
      <c r="C9" s="14">
        <v>419</v>
      </c>
      <c r="D9" s="14">
        <v>2</v>
      </c>
      <c r="E9" s="14">
        <v>1158</v>
      </c>
      <c r="F9" s="14">
        <v>1158</v>
      </c>
      <c r="G9" s="14">
        <v>1033</v>
      </c>
      <c r="H9" s="14">
        <v>7.18</v>
      </c>
      <c r="I9" s="14">
        <v>4.17</v>
      </c>
      <c r="J9" s="14">
        <v>9142</v>
      </c>
      <c r="K9" s="3" t="s">
        <v>166</v>
      </c>
      <c r="L9" s="9" t="s">
        <v>65</v>
      </c>
    </row>
    <row r="10" spans="1:12">
      <c r="A10" s="3" t="s">
        <v>167</v>
      </c>
      <c r="B10" s="14">
        <v>2031</v>
      </c>
      <c r="C10" s="14">
        <v>2156</v>
      </c>
      <c r="D10" s="14">
        <v>6</v>
      </c>
      <c r="E10" s="14">
        <v>7862</v>
      </c>
      <c r="F10" s="14">
        <v>8255</v>
      </c>
      <c r="G10" s="14">
        <v>7866</v>
      </c>
      <c r="H10" s="14">
        <v>163.4</v>
      </c>
      <c r="I10" s="14">
        <v>2.62</v>
      </c>
      <c r="J10" s="14">
        <v>10445</v>
      </c>
      <c r="K10" s="3"/>
      <c r="L10" s="9" t="s">
        <v>65</v>
      </c>
    </row>
    <row r="11" spans="1:12">
      <c r="A11" s="3" t="s">
        <v>168</v>
      </c>
      <c r="B11" s="14">
        <v>2031</v>
      </c>
      <c r="C11" s="14">
        <v>480</v>
      </c>
      <c r="D11" s="14">
        <v>6</v>
      </c>
      <c r="E11" s="14">
        <v>8937</v>
      </c>
      <c r="F11" s="14">
        <v>9831</v>
      </c>
      <c r="G11" s="14">
        <v>9366</v>
      </c>
      <c r="H11" s="14">
        <v>127.62</v>
      </c>
      <c r="I11" s="14">
        <v>3.32</v>
      </c>
      <c r="J11" s="14">
        <v>10445</v>
      </c>
      <c r="K11" s="3"/>
      <c r="L11" s="9" t="s">
        <v>65</v>
      </c>
    </row>
    <row r="12" spans="1:12">
      <c r="A12" s="3" t="s">
        <v>169</v>
      </c>
      <c r="B12" s="14">
        <v>2026</v>
      </c>
      <c r="C12" s="14">
        <v>150</v>
      </c>
      <c r="D12" s="14">
        <v>1</v>
      </c>
      <c r="E12" s="14">
        <v>1521</v>
      </c>
      <c r="F12" s="14">
        <v>1521</v>
      </c>
      <c r="G12" s="14">
        <v>1500</v>
      </c>
      <c r="H12" s="14">
        <v>41.84</v>
      </c>
      <c r="I12" s="14">
        <v>0</v>
      </c>
      <c r="J12" s="14"/>
      <c r="K12" s="3" t="s">
        <v>170</v>
      </c>
      <c r="L12" s="9" t="s">
        <v>65</v>
      </c>
    </row>
    <row r="13" spans="1:12">
      <c r="A13" s="3" t="s">
        <v>171</v>
      </c>
      <c r="B13" s="14">
        <v>2028</v>
      </c>
      <c r="C13" s="14">
        <v>200</v>
      </c>
      <c r="D13" s="14">
        <v>3</v>
      </c>
      <c r="E13" s="14">
        <v>1712</v>
      </c>
      <c r="F13" s="14">
        <v>1712</v>
      </c>
      <c r="G13" s="14">
        <v>1562</v>
      </c>
      <c r="H13" s="14">
        <v>34.57</v>
      </c>
      <c r="I13" s="14">
        <v>0</v>
      </c>
      <c r="J13" s="14">
        <v>3412</v>
      </c>
      <c r="K13" s="3" t="s">
        <v>172</v>
      </c>
      <c r="L13" s="9" t="s">
        <v>65</v>
      </c>
    </row>
    <row r="14" spans="1:12">
      <c r="A14" s="3" t="s">
        <v>173</v>
      </c>
      <c r="B14" s="14">
        <v>2027</v>
      </c>
      <c r="C14" s="14">
        <v>150</v>
      </c>
      <c r="D14" s="14">
        <v>2</v>
      </c>
      <c r="E14" s="14">
        <v>1484</v>
      </c>
      <c r="F14" s="14">
        <v>1484</v>
      </c>
      <c r="G14" s="14">
        <v>1342</v>
      </c>
      <c r="H14" s="14">
        <v>23.6</v>
      </c>
      <c r="I14" s="14">
        <v>0</v>
      </c>
      <c r="J14" s="14">
        <v>3412</v>
      </c>
      <c r="K14" s="3" t="s">
        <v>174</v>
      </c>
      <c r="L14" s="9" t="s">
        <v>65</v>
      </c>
    </row>
    <row r="15" spans="1:12">
      <c r="A15" s="3" t="s">
        <v>175</v>
      </c>
      <c r="B15" s="14">
        <v>2027</v>
      </c>
      <c r="C15" s="14">
        <v>150</v>
      </c>
      <c r="D15" s="14">
        <v>2</v>
      </c>
      <c r="E15" s="14">
        <v>1903</v>
      </c>
      <c r="F15" s="14">
        <v>1903</v>
      </c>
      <c r="G15" s="14">
        <v>1840</v>
      </c>
      <c r="H15" s="14">
        <v>40</v>
      </c>
      <c r="I15" s="14">
        <v>0</v>
      </c>
      <c r="J15" s="14">
        <v>3412</v>
      </c>
      <c r="K15" s="3" t="s">
        <v>176</v>
      </c>
      <c r="L15" s="9" t="s">
        <v>65</v>
      </c>
    </row>
    <row r="18" spans="1:12">
      <c r="A18" s="71" t="s">
        <v>177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</row>
    <row r="19" spans="1:12" ht="17.149999999999999" customHeight="1">
      <c r="A19" s="73" t="s">
        <v>178</v>
      </c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</row>
    <row r="20" spans="1:12" ht="17.149999999999999" customHeight="1">
      <c r="A20" s="73" t="s">
        <v>179</v>
      </c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</row>
    <row r="21" spans="1:12" ht="13.75" customHeight="1">
      <c r="A21" s="73" t="s">
        <v>180</v>
      </c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</row>
  </sheetData>
  <mergeCells count="6">
    <mergeCell ref="A21:L21"/>
    <mergeCell ref="A1:L1"/>
    <mergeCell ref="B2:L2"/>
    <mergeCell ref="A18:L18"/>
    <mergeCell ref="A19:L19"/>
    <mergeCell ref="A20:L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7"/>
  <sheetViews>
    <sheetView workbookViewId="0"/>
  </sheetViews>
  <sheetFormatPr defaultRowHeight="14.15"/>
  <cols>
    <col min="1" max="1" width="18" customWidth="1"/>
    <col min="2" max="2" width="41" customWidth="1"/>
    <col min="3" max="3" width="15" customWidth="1"/>
    <col min="4" max="4" width="11" customWidth="1"/>
    <col min="5" max="6" width="17" customWidth="1"/>
    <col min="7" max="8" width="18" customWidth="1"/>
    <col min="9" max="12" width="17" customWidth="1"/>
    <col min="13" max="14" width="18" customWidth="1"/>
    <col min="15" max="16" width="17" customWidth="1"/>
    <col min="17" max="17" width="58" customWidth="1"/>
  </cols>
  <sheetData>
    <row r="1" spans="1:17" ht="14.9" customHeight="1">
      <c r="A1" s="71" t="s">
        <v>181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</row>
    <row r="2" spans="1:17">
      <c r="A2" t="s">
        <v>182</v>
      </c>
      <c r="B2" s="76" t="s">
        <v>72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</row>
    <row r="4" spans="1:17" ht="19.399999999999999" customHeight="1">
      <c r="A4" s="1" t="s">
        <v>25</v>
      </c>
      <c r="B4" s="1" t="s">
        <v>183</v>
      </c>
      <c r="C4" s="1" t="s">
        <v>184</v>
      </c>
      <c r="D4" s="1" t="s">
        <v>185</v>
      </c>
      <c r="E4" s="1" t="s">
        <v>186</v>
      </c>
      <c r="F4" s="1" t="s">
        <v>187</v>
      </c>
      <c r="G4" s="1" t="s">
        <v>188</v>
      </c>
      <c r="H4" s="1" t="s">
        <v>189</v>
      </c>
      <c r="I4" s="1" t="s">
        <v>190</v>
      </c>
      <c r="J4" s="1" t="s">
        <v>191</v>
      </c>
      <c r="K4" s="1" t="s">
        <v>192</v>
      </c>
      <c r="L4" s="1" t="s">
        <v>193</v>
      </c>
      <c r="M4" s="1" t="s">
        <v>194</v>
      </c>
      <c r="N4" s="1" t="s">
        <v>195</v>
      </c>
      <c r="O4" s="1" t="s">
        <v>196</v>
      </c>
      <c r="P4" s="1" t="s">
        <v>197</v>
      </c>
      <c r="Q4" s="1" t="s">
        <v>23</v>
      </c>
    </row>
    <row r="5" spans="1:17">
      <c r="A5" s="3" t="s">
        <v>198</v>
      </c>
      <c r="B5" s="3" t="s">
        <v>199</v>
      </c>
      <c r="C5" s="3" t="s">
        <v>200</v>
      </c>
      <c r="D5" s="3">
        <v>30</v>
      </c>
      <c r="E5" s="14">
        <v>1381.1314277369831</v>
      </c>
      <c r="F5" s="14">
        <v>1307.2496997565393</v>
      </c>
      <c r="G5" s="14">
        <v>30.7</v>
      </c>
      <c r="H5" s="14">
        <v>28.3</v>
      </c>
      <c r="I5" s="14">
        <v>2</v>
      </c>
      <c r="J5" s="14">
        <v>1.89</v>
      </c>
      <c r="K5" s="16">
        <f>E5*Assumptions!$C$9</f>
        <v>1519.3507551209702</v>
      </c>
      <c r="L5" s="16">
        <f>F5*Assumptions!$C$9</f>
        <v>1438.0751741426577</v>
      </c>
      <c r="M5" s="16">
        <f>G5*Assumptions!$C$9</f>
        <v>33.772360287710782</v>
      </c>
      <c r="N5" s="16">
        <f>H5*Assumptions!$C$9</f>
        <v>31.13217577010473</v>
      </c>
      <c r="O5" s="16">
        <f>I5*Assumptions!$C$9</f>
        <v>2.2001537646717124</v>
      </c>
      <c r="P5" s="16">
        <f>J5*Assumptions!$C$9</f>
        <v>2.0791453076147683</v>
      </c>
      <c r="Q5" s="9" t="s">
        <v>72</v>
      </c>
    </row>
    <row r="6" spans="1:17">
      <c r="A6" s="3" t="s">
        <v>198</v>
      </c>
      <c r="B6" s="3" t="s">
        <v>199</v>
      </c>
      <c r="C6" s="3" t="s">
        <v>201</v>
      </c>
      <c r="D6" s="3">
        <v>30</v>
      </c>
      <c r="E6" s="14">
        <v>1403.3070896798311</v>
      </c>
      <c r="F6" s="14">
        <v>1343.3547975931363</v>
      </c>
      <c r="G6" s="14">
        <v>31.8</v>
      </c>
      <c r="H6" s="14">
        <v>30.1</v>
      </c>
      <c r="I6" s="14">
        <v>2.04</v>
      </c>
      <c r="J6" s="14">
        <v>1.96</v>
      </c>
      <c r="K6" s="16">
        <f>E6*Assumptions!$C$9</f>
        <v>1543.7456881747923</v>
      </c>
      <c r="L6" s="16">
        <f>F6*Assumptions!$C$9</f>
        <v>1477.7935576071725</v>
      </c>
      <c r="M6" s="16">
        <f>G6*Assumptions!$C$9</f>
        <v>34.982444858280225</v>
      </c>
      <c r="N6" s="16">
        <f>H6*Assumptions!$C$9</f>
        <v>33.112314158309275</v>
      </c>
      <c r="O6" s="16">
        <f>I6*Assumptions!$C$9</f>
        <v>2.2441568399651466</v>
      </c>
      <c r="P6" s="16">
        <f>J6*Assumptions!$C$9</f>
        <v>2.1561506893782783</v>
      </c>
      <c r="Q6" s="9" t="s">
        <v>72</v>
      </c>
    </row>
    <row r="7" spans="1:17">
      <c r="A7" s="3" t="s">
        <v>198</v>
      </c>
      <c r="B7" s="3" t="s">
        <v>199</v>
      </c>
      <c r="C7" s="3" t="s">
        <v>202</v>
      </c>
      <c r="D7" s="3">
        <v>30</v>
      </c>
      <c r="E7" s="14">
        <v>1425.4827516226794</v>
      </c>
      <c r="F7" s="14">
        <v>1379.3484599425831</v>
      </c>
      <c r="G7" s="14">
        <v>32.799999999999997</v>
      </c>
      <c r="H7" s="14">
        <v>31.8</v>
      </c>
      <c r="I7" s="14">
        <v>2.08</v>
      </c>
      <c r="J7" s="14">
        <v>2.0299999999999998</v>
      </c>
      <c r="K7" s="16">
        <f>E7*Assumptions!$C$9</f>
        <v>1568.1406212286149</v>
      </c>
      <c r="L7" s="16">
        <f>F7*Assumptions!$C$9</f>
        <v>1517.3893534684014</v>
      </c>
      <c r="M7" s="16">
        <f>G7*Assumptions!$C$9</f>
        <v>36.08252174061608</v>
      </c>
      <c r="N7" s="16">
        <f>H7*Assumptions!$C$9</f>
        <v>34.982444858280225</v>
      </c>
      <c r="O7" s="16">
        <f>I7*Assumptions!$C$9</f>
        <v>2.2881599152585812</v>
      </c>
      <c r="P7" s="16">
        <f>J7*Assumptions!$C$9</f>
        <v>2.2331560711417877</v>
      </c>
      <c r="Q7" s="9" t="s">
        <v>72</v>
      </c>
    </row>
    <row r="8" spans="1:17">
      <c r="A8" s="3" t="s">
        <v>203</v>
      </c>
      <c r="B8" s="3" t="s">
        <v>204</v>
      </c>
      <c r="C8" s="3" t="s">
        <v>200</v>
      </c>
      <c r="D8" s="3">
        <v>30</v>
      </c>
      <c r="E8" s="14">
        <v>1270.4759889970424</v>
      </c>
      <c r="F8" s="14">
        <v>1221.4443746510465</v>
      </c>
      <c r="G8" s="14">
        <v>25</v>
      </c>
      <c r="H8" s="14">
        <v>24.2</v>
      </c>
      <c r="I8" s="14">
        <v>6.94</v>
      </c>
      <c r="J8" s="14">
        <v>6.94</v>
      </c>
      <c r="K8" s="16">
        <f>E8*Assumptions!$C$9</f>
        <v>1397.6212650584298</v>
      </c>
      <c r="L8" s="16">
        <f>F8*Assumptions!$C$9</f>
        <v>1343.6827196127927</v>
      </c>
      <c r="M8" s="16">
        <f>G8*Assumptions!$C$9</f>
        <v>27.501922058396406</v>
      </c>
      <c r="N8" s="16">
        <f>H8*Assumptions!$C$9</f>
        <v>26.621860552527721</v>
      </c>
      <c r="O8" s="16">
        <f>I8*Assumptions!$C$9</f>
        <v>7.6345335634108427</v>
      </c>
      <c r="P8" s="16">
        <f>J8*Assumptions!$C$9</f>
        <v>7.6345335634108427</v>
      </c>
      <c r="Q8" s="9" t="s">
        <v>72</v>
      </c>
    </row>
    <row r="9" spans="1:17">
      <c r="A9" s="3" t="s">
        <v>203</v>
      </c>
      <c r="B9" s="3" t="s">
        <v>204</v>
      </c>
      <c r="C9" s="3" t="s">
        <v>201</v>
      </c>
      <c r="D9" s="3">
        <v>30</v>
      </c>
      <c r="E9" s="14">
        <v>1270.4759889970424</v>
      </c>
      <c r="F9" s="14">
        <v>1221.4443746510465</v>
      </c>
      <c r="G9" s="14">
        <v>25</v>
      </c>
      <c r="H9" s="14">
        <v>24.2</v>
      </c>
      <c r="I9" s="14">
        <v>6.94</v>
      </c>
      <c r="J9" s="14">
        <v>6.94</v>
      </c>
      <c r="K9" s="16">
        <f>E9*Assumptions!$C$9</f>
        <v>1397.6212650584298</v>
      </c>
      <c r="L9" s="16">
        <f>F9*Assumptions!$C$9</f>
        <v>1343.6827196127927</v>
      </c>
      <c r="M9" s="16">
        <f>G9*Assumptions!$C$9</f>
        <v>27.501922058396406</v>
      </c>
      <c r="N9" s="16">
        <f>H9*Assumptions!$C$9</f>
        <v>26.621860552527721</v>
      </c>
      <c r="O9" s="16">
        <f>I9*Assumptions!$C$9</f>
        <v>7.6345335634108427</v>
      </c>
      <c r="P9" s="16">
        <f>J9*Assumptions!$C$9</f>
        <v>7.6345335634108427</v>
      </c>
      <c r="Q9" s="9" t="s">
        <v>72</v>
      </c>
    </row>
    <row r="10" spans="1:17">
      <c r="A10" s="3" t="s">
        <v>203</v>
      </c>
      <c r="B10" s="3" t="s">
        <v>204</v>
      </c>
      <c r="C10" s="3" t="s">
        <v>202</v>
      </c>
      <c r="D10" s="3">
        <v>30</v>
      </c>
      <c r="E10" s="14">
        <v>1270.4759889970424</v>
      </c>
      <c r="F10" s="14">
        <v>1221.4443746510465</v>
      </c>
      <c r="G10" s="14">
        <v>25</v>
      </c>
      <c r="H10" s="14">
        <v>24.2</v>
      </c>
      <c r="I10" s="14">
        <v>6.94</v>
      </c>
      <c r="J10" s="14">
        <v>6.94</v>
      </c>
      <c r="K10" s="16">
        <f>E10*Assumptions!$C$9</f>
        <v>1397.6212650584298</v>
      </c>
      <c r="L10" s="16">
        <f>F10*Assumptions!$C$9</f>
        <v>1343.6827196127927</v>
      </c>
      <c r="M10" s="16">
        <f>G10*Assumptions!$C$9</f>
        <v>27.501922058396406</v>
      </c>
      <c r="N10" s="16">
        <f>H10*Assumptions!$C$9</f>
        <v>26.621860552527721</v>
      </c>
      <c r="O10" s="16">
        <f>I10*Assumptions!$C$9</f>
        <v>7.6345335634108427</v>
      </c>
      <c r="P10" s="16">
        <f>J10*Assumptions!$C$9</f>
        <v>7.6345335634108427</v>
      </c>
      <c r="Q10" s="9" t="s">
        <v>72</v>
      </c>
    </row>
    <row r="11" spans="1:17">
      <c r="A11" s="3" t="s">
        <v>32</v>
      </c>
      <c r="B11" s="3" t="s">
        <v>205</v>
      </c>
      <c r="C11" s="3" t="s">
        <v>200</v>
      </c>
      <c r="D11" s="3">
        <v>30</v>
      </c>
      <c r="E11" s="14">
        <v>6416.7402694688953</v>
      </c>
      <c r="F11" s="14">
        <v>3838.5856969144288</v>
      </c>
      <c r="G11" s="14">
        <v>118</v>
      </c>
      <c r="H11" s="14">
        <v>118</v>
      </c>
      <c r="I11" s="14">
        <v>2.2000000000000002</v>
      </c>
      <c r="J11" s="14">
        <v>2.2000000000000002</v>
      </c>
      <c r="K11" s="16">
        <f>E11*Assumptions!$C$9</f>
        <v>7058.9076303962838</v>
      </c>
      <c r="L11" s="16">
        <f>F11*Assumptions!$C$9</f>
        <v>4222.7393860406346</v>
      </c>
      <c r="M11" s="16">
        <f>G11*Assumptions!$C$9</f>
        <v>129.80907211563104</v>
      </c>
      <c r="N11" s="16">
        <f>H11*Assumptions!$C$9</f>
        <v>129.80907211563104</v>
      </c>
      <c r="O11" s="16">
        <f>I11*Assumptions!$C$9</f>
        <v>2.4201691411388837</v>
      </c>
      <c r="P11" s="16">
        <f>J11*Assumptions!$C$9</f>
        <v>2.4201691411388837</v>
      </c>
      <c r="Q11" s="9" t="s">
        <v>72</v>
      </c>
    </row>
    <row r="12" spans="1:17">
      <c r="A12" s="3" t="s">
        <v>32</v>
      </c>
      <c r="B12" s="3" t="s">
        <v>205</v>
      </c>
      <c r="C12" s="3" t="s">
        <v>201</v>
      </c>
      <c r="D12" s="3">
        <v>30</v>
      </c>
      <c r="E12" s="14">
        <v>9650.0006770512009</v>
      </c>
      <c r="F12" s="14">
        <v>7862.9635146343107</v>
      </c>
      <c r="G12" s="14">
        <v>136</v>
      </c>
      <c r="H12" s="14">
        <v>136</v>
      </c>
      <c r="I12" s="14">
        <v>2.6</v>
      </c>
      <c r="J12" s="14">
        <v>2.6</v>
      </c>
      <c r="K12" s="16">
        <f>E12*Assumptions!$C$9</f>
        <v>10615.742659349387</v>
      </c>
      <c r="L12" s="16">
        <f>F12*Assumptions!$C$9</f>
        <v>8649.864389099499</v>
      </c>
      <c r="M12" s="16">
        <f>G12*Assumptions!$C$9</f>
        <v>149.61045599767644</v>
      </c>
      <c r="N12" s="16">
        <f>H12*Assumptions!$C$9</f>
        <v>149.61045599767644</v>
      </c>
      <c r="O12" s="16">
        <f>I12*Assumptions!$C$9</f>
        <v>2.8601998940732263</v>
      </c>
      <c r="P12" s="16">
        <f>J12*Assumptions!$C$9</f>
        <v>2.8601998940732263</v>
      </c>
      <c r="Q12" s="9" t="s">
        <v>72</v>
      </c>
    </row>
    <row r="13" spans="1:17">
      <c r="A13" s="3" t="s">
        <v>32</v>
      </c>
      <c r="B13" s="3" t="s">
        <v>205</v>
      </c>
      <c r="C13" s="3" t="s">
        <v>202</v>
      </c>
      <c r="D13" s="3">
        <v>30</v>
      </c>
      <c r="E13" s="14">
        <v>12681.1268480299</v>
      </c>
      <c r="F13" s="14">
        <v>12053.348291196737</v>
      </c>
      <c r="G13" s="14">
        <v>216</v>
      </c>
      <c r="H13" s="14">
        <v>216</v>
      </c>
      <c r="I13" s="14">
        <v>2.8</v>
      </c>
      <c r="J13" s="14">
        <v>2.8</v>
      </c>
      <c r="K13" s="16">
        <f>E13*Assumptions!$C$9</f>
        <v>13950.214487486255</v>
      </c>
      <c r="L13" s="16">
        <f>F13*Assumptions!$C$9</f>
        <v>13259.609809887927</v>
      </c>
      <c r="M13" s="16">
        <f>G13*Assumptions!$C$9</f>
        <v>237.61660658454494</v>
      </c>
      <c r="N13" s="16">
        <f>H13*Assumptions!$C$9</f>
        <v>237.61660658454494</v>
      </c>
      <c r="O13" s="16">
        <f>I13*Assumptions!$C$9</f>
        <v>3.0802152705403971</v>
      </c>
      <c r="P13" s="16">
        <f>J13*Assumptions!$C$9</f>
        <v>3.0802152705403971</v>
      </c>
      <c r="Q13" s="9" t="s">
        <v>72</v>
      </c>
    </row>
    <row r="14" spans="1:17">
      <c r="A14" s="3" t="s">
        <v>206</v>
      </c>
      <c r="B14" s="3" t="s">
        <v>207</v>
      </c>
      <c r="C14" s="3" t="s">
        <v>200</v>
      </c>
      <c r="D14" s="3">
        <v>30</v>
      </c>
      <c r="E14" s="14">
        <v>1341.6723219756607</v>
      </c>
      <c r="F14" s="14">
        <v>1258.7992531108473</v>
      </c>
      <c r="G14" s="14">
        <v>26.314453944980599</v>
      </c>
      <c r="H14" s="14">
        <v>23.834381483569398</v>
      </c>
      <c r="I14" s="14">
        <v>0</v>
      </c>
      <c r="J14" s="14">
        <v>0</v>
      </c>
      <c r="K14" s="16">
        <f>E14*Assumptions!$C$9</f>
        <v>1475.9427050752938</v>
      </c>
      <c r="L14" s="16">
        <f>F14*Assumptions!$C$9</f>
        <v>1384.7759578488854</v>
      </c>
      <c r="M14" s="16">
        <f>G14*Assumptions!$C$9</f>
        <v>28.947922456164729</v>
      </c>
      <c r="N14" s="16">
        <f>H14*Assumptions!$C$9</f>
        <v>26.219652074848483</v>
      </c>
      <c r="O14" s="16">
        <f>I14*Assumptions!$C$9</f>
        <v>0</v>
      </c>
      <c r="P14" s="16">
        <f>J14*Assumptions!$C$9</f>
        <v>0</v>
      </c>
      <c r="Q14" s="9" t="s">
        <v>72</v>
      </c>
    </row>
    <row r="15" spans="1:17">
      <c r="A15" s="3" t="s">
        <v>206</v>
      </c>
      <c r="B15" s="3" t="s">
        <v>207</v>
      </c>
      <c r="C15" s="3" t="s">
        <v>201</v>
      </c>
      <c r="D15" s="3">
        <v>30</v>
      </c>
      <c r="E15" s="14">
        <v>1407.9532235867798</v>
      </c>
      <c r="F15" s="14">
        <v>1334.6919677529645</v>
      </c>
      <c r="G15" s="14">
        <v>29.2637731474106</v>
      </c>
      <c r="H15" s="14">
        <v>28.2612179562493</v>
      </c>
      <c r="I15" s="14">
        <v>0</v>
      </c>
      <c r="J15" s="14">
        <v>0</v>
      </c>
      <c r="K15" s="16">
        <f>E15*Assumptions!$C$9</f>
        <v>1548.8567926780634</v>
      </c>
      <c r="L15" s="16">
        <f>F15*Assumptions!$C$9</f>
        <v>1468.2637787643903</v>
      </c>
      <c r="M15" s="16">
        <f>G15*Assumptions!$C$9</f>
        <v>32.192400329387198</v>
      </c>
      <c r="N15" s="16">
        <f>H15*Assumptions!$C$9</f>
        <v>31.089512540324847</v>
      </c>
      <c r="O15" s="16">
        <f>I15*Assumptions!$C$9</f>
        <v>0</v>
      </c>
      <c r="P15" s="16">
        <f>J15*Assumptions!$C$9</f>
        <v>0</v>
      </c>
      <c r="Q15" s="9" t="s">
        <v>72</v>
      </c>
    </row>
    <row r="16" spans="1:17">
      <c r="A16" s="3" t="s">
        <v>206</v>
      </c>
      <c r="B16" s="3" t="s">
        <v>207</v>
      </c>
      <c r="C16" s="3" t="s">
        <v>202</v>
      </c>
      <c r="D16" s="3">
        <v>30</v>
      </c>
      <c r="E16" s="14">
        <v>1577.391784816776</v>
      </c>
      <c r="F16" s="14">
        <v>1522.1515178729378</v>
      </c>
      <c r="G16" s="14">
        <v>30.910898936592101</v>
      </c>
      <c r="H16" s="14">
        <v>30.290880821239298</v>
      </c>
      <c r="I16" s="14">
        <v>0</v>
      </c>
      <c r="J16" s="14">
        <v>0</v>
      </c>
      <c r="K16" s="16">
        <f>E16*Assumptions!$C$9</f>
        <v>1735.2522368634307</v>
      </c>
      <c r="L16" s="16">
        <f>F16*Assumptions!$C$9</f>
        <v>1674.4836962244528</v>
      </c>
      <c r="M16" s="16">
        <f>G16*Assumptions!$C$9</f>
        <v>34.004365332364969</v>
      </c>
      <c r="N16" s="16">
        <f>H16*Assumptions!$C$9</f>
        <v>33.32229773703591</v>
      </c>
      <c r="O16" s="16">
        <f>I16*Assumptions!$C$9</f>
        <v>0</v>
      </c>
      <c r="P16" s="16">
        <f>J16*Assumptions!$C$9</f>
        <v>0</v>
      </c>
      <c r="Q16" s="9" t="s">
        <v>72</v>
      </c>
    </row>
    <row r="17" spans="1:17">
      <c r="A17" s="3" t="s">
        <v>208</v>
      </c>
      <c r="B17" s="3" t="s">
        <v>209</v>
      </c>
      <c r="C17" s="3" t="s">
        <v>200</v>
      </c>
      <c r="D17" s="3">
        <v>30</v>
      </c>
      <c r="E17" s="14">
        <v>1341.6723219756607</v>
      </c>
      <c r="F17" s="14">
        <v>1258.7992531108473</v>
      </c>
      <c r="G17" s="14">
        <v>26.314453944980599</v>
      </c>
      <c r="H17" s="14">
        <v>23.834381483569398</v>
      </c>
      <c r="I17" s="14">
        <v>0</v>
      </c>
      <c r="J17" s="14">
        <v>0</v>
      </c>
      <c r="K17" s="16">
        <f>E17*Assumptions!$C$9</f>
        <v>1475.9427050752938</v>
      </c>
      <c r="L17" s="16">
        <f>F17*Assumptions!$C$9</f>
        <v>1384.7759578488854</v>
      </c>
      <c r="M17" s="16">
        <f>G17*Assumptions!$C$9</f>
        <v>28.947922456164729</v>
      </c>
      <c r="N17" s="16">
        <f>H17*Assumptions!$C$9</f>
        <v>26.219652074848483</v>
      </c>
      <c r="O17" s="16">
        <f>I17*Assumptions!$C$9</f>
        <v>0</v>
      </c>
      <c r="P17" s="16">
        <f>J17*Assumptions!$C$9</f>
        <v>0</v>
      </c>
      <c r="Q17" s="9" t="s">
        <v>72</v>
      </c>
    </row>
    <row r="18" spans="1:17">
      <c r="A18" s="3" t="s">
        <v>208</v>
      </c>
      <c r="B18" s="3" t="s">
        <v>209</v>
      </c>
      <c r="C18" s="3" t="s">
        <v>201</v>
      </c>
      <c r="D18" s="3">
        <v>30</v>
      </c>
      <c r="E18" s="14">
        <v>1472.8513975886283</v>
      </c>
      <c r="F18" s="14">
        <v>1383.3655982543562</v>
      </c>
      <c r="G18" s="14">
        <v>29.2637731474106</v>
      </c>
      <c r="H18" s="14">
        <v>28.2612179562493</v>
      </c>
      <c r="I18" s="14">
        <v>0</v>
      </c>
      <c r="J18" s="14">
        <v>0</v>
      </c>
      <c r="K18" s="16">
        <f>E18*Assumptions!$C$9</f>
        <v>1620.2497736033067</v>
      </c>
      <c r="L18" s="16">
        <f>F18*Assumptions!$C$9</f>
        <v>1521.8085144583288</v>
      </c>
      <c r="M18" s="16">
        <f>G18*Assumptions!$C$9</f>
        <v>32.192400329387198</v>
      </c>
      <c r="N18" s="16">
        <f>H18*Assumptions!$C$9</f>
        <v>31.089512540324847</v>
      </c>
      <c r="O18" s="16">
        <f>I18*Assumptions!$C$9</f>
        <v>0</v>
      </c>
      <c r="P18" s="16">
        <f>J18*Assumptions!$C$9</f>
        <v>0</v>
      </c>
      <c r="Q18" s="9" t="s">
        <v>72</v>
      </c>
    </row>
    <row r="19" spans="1:17">
      <c r="A19" s="3" t="s">
        <v>208</v>
      </c>
      <c r="B19" s="3" t="s">
        <v>209</v>
      </c>
      <c r="C19" s="3" t="s">
        <v>202</v>
      </c>
      <c r="D19" s="3">
        <v>30</v>
      </c>
      <c r="E19" s="14">
        <v>1577.391784816776</v>
      </c>
      <c r="F19" s="14">
        <v>1522.1515178729378</v>
      </c>
      <c r="G19" s="14">
        <v>30.910898936592101</v>
      </c>
      <c r="H19" s="14">
        <v>30.290880821239298</v>
      </c>
      <c r="I19" s="14">
        <v>0</v>
      </c>
      <c r="J19" s="14">
        <v>0</v>
      </c>
      <c r="K19" s="16">
        <f>E19*Assumptions!$C$9</f>
        <v>1735.2522368634307</v>
      </c>
      <c r="L19" s="16">
        <f>F19*Assumptions!$C$9</f>
        <v>1674.4836962244528</v>
      </c>
      <c r="M19" s="16">
        <f>G19*Assumptions!$C$9</f>
        <v>34.004365332364969</v>
      </c>
      <c r="N19" s="16">
        <f>H19*Assumptions!$C$9</f>
        <v>33.32229773703591</v>
      </c>
      <c r="O19" s="16">
        <f>I19*Assumptions!$C$9</f>
        <v>0</v>
      </c>
      <c r="P19" s="16">
        <f>J19*Assumptions!$C$9</f>
        <v>0</v>
      </c>
      <c r="Q19" s="9" t="s">
        <v>72</v>
      </c>
    </row>
    <row r="20" spans="1:17">
      <c r="A20" s="3" t="s">
        <v>210</v>
      </c>
      <c r="B20" s="3" t="s">
        <v>211</v>
      </c>
      <c r="C20" s="3" t="s">
        <v>200</v>
      </c>
      <c r="D20" s="3">
        <v>30</v>
      </c>
      <c r="E20" s="14">
        <v>1069.5664843527793</v>
      </c>
      <c r="F20" s="14">
        <v>682.89635569171378</v>
      </c>
      <c r="G20" s="14">
        <v>16.638816364391797</v>
      </c>
      <c r="H20" s="14">
        <v>12.763818693735923</v>
      </c>
      <c r="I20" s="14">
        <v>0</v>
      </c>
      <c r="J20" s="14">
        <v>0</v>
      </c>
      <c r="K20" s="16">
        <f>E20*Assumptions!$C$9</f>
        <v>1176.6053635577277</v>
      </c>
      <c r="L20" s="16">
        <f>F20*Assumptions!$C$9</f>
        <v>751.23849392785849</v>
      </c>
      <c r="M20" s="16">
        <f>G20*Assumptions!$C$9</f>
        <v>18.303977231898955</v>
      </c>
      <c r="N20" s="16">
        <f>H20*Assumptions!$C$9</f>
        <v>14.041181875305135</v>
      </c>
      <c r="O20" s="16">
        <f>I20*Assumptions!$C$9</f>
        <v>0</v>
      </c>
      <c r="P20" s="16">
        <f>J20*Assumptions!$C$9</f>
        <v>0</v>
      </c>
      <c r="Q20" s="9" t="s">
        <v>72</v>
      </c>
    </row>
    <row r="21" spans="1:17">
      <c r="A21" s="3" t="s">
        <v>210</v>
      </c>
      <c r="B21" s="3" t="s">
        <v>211</v>
      </c>
      <c r="C21" s="3" t="s">
        <v>201</v>
      </c>
      <c r="D21" s="3">
        <v>30</v>
      </c>
      <c r="E21" s="14">
        <v>1193.4809439770536</v>
      </c>
      <c r="F21" s="14">
        <v>895.32114361904189</v>
      </c>
      <c r="G21" s="14">
        <v>17.99068147455273</v>
      </c>
      <c r="H21" s="14">
        <v>15.021676325365567</v>
      </c>
      <c r="I21" s="14">
        <v>0</v>
      </c>
      <c r="J21" s="14">
        <v>0</v>
      </c>
      <c r="K21" s="16">
        <f>E21*Assumptions!$C$9</f>
        <v>1312.9207959775317</v>
      </c>
      <c r="L21" s="16">
        <f>F21*Assumptions!$C$9</f>
        <v>984.92209236180895</v>
      </c>
      <c r="M21" s="16">
        <f>G21*Assumptions!$C$9</f>
        <v>19.791132787623411</v>
      </c>
      <c r="N21" s="16">
        <f>H21*Assumptions!$C$9</f>
        <v>16.524998859466493</v>
      </c>
      <c r="O21" s="16">
        <f>I21*Assumptions!$C$9</f>
        <v>0</v>
      </c>
      <c r="P21" s="16">
        <f>J21*Assumptions!$C$9</f>
        <v>0</v>
      </c>
      <c r="Q21" s="9" t="s">
        <v>72</v>
      </c>
    </row>
    <row r="22" spans="1:17">
      <c r="A22" s="3" t="s">
        <v>210</v>
      </c>
      <c r="B22" s="3" t="s">
        <v>211</v>
      </c>
      <c r="C22" s="3" t="s">
        <v>202</v>
      </c>
      <c r="D22" s="3">
        <v>30</v>
      </c>
      <c r="E22" s="14">
        <v>1364.9377461958204</v>
      </c>
      <c r="F22" s="14">
        <v>1189.2470902797832</v>
      </c>
      <c r="G22" s="14">
        <v>19.724805057419829</v>
      </c>
      <c r="H22" s="14">
        <v>17.961888421143438</v>
      </c>
      <c r="I22" s="14">
        <v>0</v>
      </c>
      <c r="J22" s="14">
        <v>0</v>
      </c>
      <c r="K22" s="16">
        <f>E22*Assumptions!$C$9</f>
        <v>1501.5364604176284</v>
      </c>
      <c r="L22" s="16">
        <f>F22*Assumptions!$C$9</f>
        <v>1308.2632314019725</v>
      </c>
      <c r="M22" s="16">
        <f>G22*Assumptions!$C$9</f>
        <v>21.698802052248933</v>
      </c>
      <c r="N22" s="16">
        <f>H22*Assumptions!$C$9</f>
        <v>19.759458215195988</v>
      </c>
      <c r="O22" s="16">
        <f>I22*Assumptions!$C$9</f>
        <v>0</v>
      </c>
      <c r="P22" s="16">
        <f>J22*Assumptions!$C$9</f>
        <v>0</v>
      </c>
      <c r="Q22" s="9" t="s">
        <v>72</v>
      </c>
    </row>
    <row r="23" spans="1:17">
      <c r="A23" s="3" t="s">
        <v>35</v>
      </c>
      <c r="B23" s="3" t="s">
        <v>212</v>
      </c>
      <c r="C23" s="3" t="s">
        <v>200</v>
      </c>
      <c r="D23" s="3" t="s">
        <v>213</v>
      </c>
      <c r="E23" s="14">
        <v>706.07990395138165</v>
      </c>
      <c r="F23" s="14">
        <v>652.79199804711766</v>
      </c>
      <c r="G23" s="14">
        <v>14.529715961717471</v>
      </c>
      <c r="H23" s="14">
        <v>13.244481958220286</v>
      </c>
      <c r="I23" s="14">
        <v>0</v>
      </c>
      <c r="J23" s="14">
        <v>0</v>
      </c>
      <c r="K23" s="16">
        <f>E23*Assumptions!$C$9</f>
        <v>776.74217941883671</v>
      </c>
      <c r="L23" s="16">
        <f>F23*Assumptions!$C$9</f>
        <v>718.12138602546747</v>
      </c>
      <c r="M23" s="16">
        <f>G23*Assumptions!$C$9</f>
        <v>15.983804636391683</v>
      </c>
      <c r="N23" s="16">
        <f>H23*Assumptions!$C$9</f>
        <v>14.569948420752468</v>
      </c>
      <c r="O23" s="16">
        <f>I23*Assumptions!$C$9</f>
        <v>0</v>
      </c>
      <c r="P23" s="16">
        <f>J23*Assumptions!$C$9</f>
        <v>0</v>
      </c>
      <c r="Q23" s="9" t="s">
        <v>72</v>
      </c>
    </row>
    <row r="24" spans="1:17">
      <c r="A24" s="3" t="s">
        <v>35</v>
      </c>
      <c r="B24" s="3" t="s">
        <v>212</v>
      </c>
      <c r="C24" s="3" t="s">
        <v>201</v>
      </c>
      <c r="D24" s="3" t="s">
        <v>213</v>
      </c>
      <c r="E24" s="14">
        <v>941.97560317803834</v>
      </c>
      <c r="F24" s="14">
        <v>884.34443774952217</v>
      </c>
      <c r="G24" s="14">
        <v>20.219209079903308</v>
      </c>
      <c r="H24" s="14">
        <v>18.82922138545398</v>
      </c>
      <c r="I24" s="14">
        <v>0</v>
      </c>
      <c r="J24" s="14">
        <v>0</v>
      </c>
      <c r="K24" s="16">
        <f>E24*Assumptions!$C$9</f>
        <v>1036.245584780534</v>
      </c>
      <c r="L24" s="16">
        <f>F24*Assumptions!$C$9</f>
        <v>972.84687199054997</v>
      </c>
      <c r="M24" s="16">
        <f>G24*Assumptions!$C$9</f>
        <v>22.242684487916868</v>
      </c>
      <c r="N24" s="16">
        <f>H24*Assumptions!$C$9</f>
        <v>20.713591158521847</v>
      </c>
      <c r="O24" s="16">
        <f>I24*Assumptions!$C$9</f>
        <v>0</v>
      </c>
      <c r="P24" s="16">
        <f>J24*Assumptions!$C$9</f>
        <v>0</v>
      </c>
      <c r="Q24" s="9" t="s">
        <v>72</v>
      </c>
    </row>
    <row r="25" spans="1:17">
      <c r="A25" s="3" t="s">
        <v>35</v>
      </c>
      <c r="B25" s="3" t="s">
        <v>212</v>
      </c>
      <c r="C25" s="3" t="s">
        <v>202</v>
      </c>
      <c r="D25" s="3" t="s">
        <v>213</v>
      </c>
      <c r="E25" s="14">
        <v>1114.4629409705715</v>
      </c>
      <c r="F25" s="14">
        <v>1079.8589990064552</v>
      </c>
      <c r="G25" s="14">
        <v>24.379376156124067</v>
      </c>
      <c r="H25" s="14">
        <v>23.544774718656683</v>
      </c>
      <c r="I25" s="14">
        <v>0</v>
      </c>
      <c r="J25" s="14">
        <v>0</v>
      </c>
      <c r="K25" s="16">
        <f>E25*Assumptions!$C$9</f>
        <v>1225.9949175817555</v>
      </c>
      <c r="L25" s="16">
        <f>F25*Assumptions!$C$9</f>
        <v>1187.9279209893396</v>
      </c>
      <c r="M25" s="16">
        <f>G25*Assumptions!$C$9</f>
        <v>26.819188115122074</v>
      </c>
      <c r="N25" s="16">
        <f>H25*Assumptions!$C$9</f>
        <v>25.901062367799931</v>
      </c>
      <c r="O25" s="16">
        <f>I25*Assumptions!$C$9</f>
        <v>0</v>
      </c>
      <c r="P25" s="16">
        <f>J25*Assumptions!$C$9</f>
        <v>0</v>
      </c>
      <c r="Q25" s="9" t="s">
        <v>72</v>
      </c>
    </row>
    <row r="26" spans="1:17">
      <c r="A26" s="3" t="s">
        <v>36</v>
      </c>
      <c r="B26" s="3" t="s">
        <v>214</v>
      </c>
      <c r="C26" s="3" t="s">
        <v>200</v>
      </c>
      <c r="D26" s="3" t="s">
        <v>213</v>
      </c>
      <c r="E26" s="14">
        <v>1117.5993655115392</v>
      </c>
      <c r="F26" s="14">
        <v>1028.7117489429795</v>
      </c>
      <c r="G26" s="14">
        <v>24.455022579098483</v>
      </c>
      <c r="H26" s="14">
        <v>22.311170510507598</v>
      </c>
      <c r="I26" s="14">
        <v>0</v>
      </c>
      <c r="J26" s="14">
        <v>0</v>
      </c>
      <c r="K26" s="16">
        <f>E26*Assumptions!$C$9</f>
        <v>1229.4452257124651</v>
      </c>
      <c r="L26" s="16">
        <f>F26*Assumptions!$C$9</f>
        <v>1131.662013599459</v>
      </c>
      <c r="M26" s="16">
        <f>G26*Assumptions!$C$9</f>
        <v>26.902404996267627</v>
      </c>
      <c r="N26" s="16">
        <f>H26*Assumptions!$C$9</f>
        <v>24.544002896462892</v>
      </c>
      <c r="O26" s="16">
        <f>I26*Assumptions!$C$9</f>
        <v>0</v>
      </c>
      <c r="P26" s="16">
        <f>J26*Assumptions!$C$9</f>
        <v>0</v>
      </c>
      <c r="Q26" s="9" t="s">
        <v>72</v>
      </c>
    </row>
    <row r="27" spans="1:17">
      <c r="A27" s="3" t="s">
        <v>36</v>
      </c>
      <c r="B27" s="3" t="s">
        <v>214</v>
      </c>
      <c r="C27" s="3" t="s">
        <v>201</v>
      </c>
      <c r="D27" s="3" t="s">
        <v>213</v>
      </c>
      <c r="E27" s="14">
        <v>1451.3156212180554</v>
      </c>
      <c r="F27" s="14">
        <v>1347.3964040250733</v>
      </c>
      <c r="G27" s="14">
        <v>32.503818493960217</v>
      </c>
      <c r="H27" s="14">
        <v>29.997424045036247</v>
      </c>
      <c r="I27" s="14">
        <v>0</v>
      </c>
      <c r="J27" s="14">
        <v>0</v>
      </c>
      <c r="K27" s="16">
        <f>E27*Assumptions!$C$9</f>
        <v>1596.5587638748848</v>
      </c>
      <c r="L27" s="16">
        <f>F27*Assumptions!$C$9</f>
        <v>1482.2396354104462</v>
      </c>
      <c r="M27" s="16">
        <f>G27*Assumptions!$C$9</f>
        <v>35.756699312846301</v>
      </c>
      <c r="N27" s="16">
        <f>H27*Assumptions!$C$9</f>
        <v>32.999472721570122</v>
      </c>
      <c r="O27" s="16">
        <f>I27*Assumptions!$C$9</f>
        <v>0</v>
      </c>
      <c r="P27" s="16">
        <f>J27*Assumptions!$C$9</f>
        <v>0</v>
      </c>
      <c r="Q27" s="9" t="s">
        <v>72</v>
      </c>
    </row>
    <row r="28" spans="1:17">
      <c r="A28" s="3" t="s">
        <v>36</v>
      </c>
      <c r="B28" s="3" t="s">
        <v>214</v>
      </c>
      <c r="C28" s="3" t="s">
        <v>202</v>
      </c>
      <c r="D28" s="3" t="s">
        <v>213</v>
      </c>
      <c r="E28" s="14">
        <v>1774.9148068437305</v>
      </c>
      <c r="F28" s="14">
        <v>1717.7010132941671</v>
      </c>
      <c r="G28" s="14">
        <v>40.308604022918985</v>
      </c>
      <c r="H28" s="14">
        <v>38.928682787675186</v>
      </c>
      <c r="I28" s="14">
        <v>0</v>
      </c>
      <c r="J28" s="14">
        <v>0</v>
      </c>
      <c r="K28" s="16">
        <f>E28*Assumptions!$C$9</f>
        <v>1952.5427471243995</v>
      </c>
      <c r="L28" s="16">
        <f>F28*Assumptions!$C$9</f>
        <v>1889.6031754897883</v>
      </c>
      <c r="M28" s="16">
        <f>G28*Assumptions!$C$9</f>
        <v>44.342563444843272</v>
      </c>
      <c r="N28" s="16">
        <f>H28*Assumptions!$C$9</f>
        <v>42.824543994507223</v>
      </c>
      <c r="O28" s="16">
        <f>I28*Assumptions!$C$9</f>
        <v>0</v>
      </c>
      <c r="P28" s="16">
        <f>J28*Assumptions!$C$9</f>
        <v>0</v>
      </c>
      <c r="Q28" s="9" t="s">
        <v>72</v>
      </c>
    </row>
    <row r="29" spans="1:17">
      <c r="A29" s="3" t="s">
        <v>37</v>
      </c>
      <c r="B29" s="3" t="s">
        <v>215</v>
      </c>
      <c r="C29" s="3" t="s">
        <v>200</v>
      </c>
      <c r="D29" s="3" t="s">
        <v>213</v>
      </c>
      <c r="E29" s="14">
        <v>1529.1188270716973</v>
      </c>
      <c r="F29" s="14">
        <v>1404.6314998388416</v>
      </c>
      <c r="G29" s="14">
        <v>34.380329196479501</v>
      </c>
      <c r="H29" s="14">
        <v>31.377859062794911</v>
      </c>
      <c r="I29" s="14">
        <v>0</v>
      </c>
      <c r="J29" s="14">
        <v>0</v>
      </c>
      <c r="K29" s="16">
        <f>E29*Assumptions!$C$9</f>
        <v>1682.148272006094</v>
      </c>
      <c r="L29" s="16">
        <f>F29*Assumptions!$C$9</f>
        <v>1545.2026411734505</v>
      </c>
      <c r="M29" s="16">
        <f>G29*Assumptions!$C$9</f>
        <v>37.82100535614358</v>
      </c>
      <c r="N29" s="16">
        <f>H29*Assumptions!$C$9</f>
        <v>34.518057372173317</v>
      </c>
      <c r="O29" s="16">
        <f>I29*Assumptions!$C$9</f>
        <v>0</v>
      </c>
      <c r="P29" s="16">
        <f>J29*Assumptions!$C$9</f>
        <v>0</v>
      </c>
      <c r="Q29" s="9" t="s">
        <v>72</v>
      </c>
    </row>
    <row r="30" spans="1:17">
      <c r="A30" s="3" t="s">
        <v>37</v>
      </c>
      <c r="B30" s="3" t="s">
        <v>215</v>
      </c>
      <c r="C30" s="3" t="s">
        <v>201</v>
      </c>
      <c r="D30" s="3" t="s">
        <v>213</v>
      </c>
      <c r="E30" s="14">
        <v>1960.6556392580724</v>
      </c>
      <c r="F30" s="14">
        <v>1810.448370300624</v>
      </c>
      <c r="G30" s="14">
        <v>44.788427908017127</v>
      </c>
      <c r="H30" s="14">
        <v>41.165626704618511</v>
      </c>
      <c r="I30" s="14">
        <v>0</v>
      </c>
      <c r="J30" s="14">
        <v>0</v>
      </c>
      <c r="K30" s="16">
        <f>E30*Assumptions!$C$9</f>
        <v>2156.8719429692355</v>
      </c>
      <c r="L30" s="16">
        <f>F30*Assumptions!$C$9</f>
        <v>1991.6323988303423</v>
      </c>
      <c r="M30" s="16">
        <f>G30*Assumptions!$C$9</f>
        <v>49.270714137775734</v>
      </c>
      <c r="N30" s="16">
        <f>H30*Assumptions!$C$9</f>
        <v>45.2853542846184</v>
      </c>
      <c r="O30" s="16">
        <f>I30*Assumptions!$C$9</f>
        <v>0</v>
      </c>
      <c r="P30" s="16">
        <f>J30*Assumptions!$C$9</f>
        <v>0</v>
      </c>
      <c r="Q30" s="9" t="s">
        <v>72</v>
      </c>
    </row>
    <row r="31" spans="1:17">
      <c r="A31" s="3" t="s">
        <v>37</v>
      </c>
      <c r="B31" s="3" t="s">
        <v>215</v>
      </c>
      <c r="C31" s="3" t="s">
        <v>202</v>
      </c>
      <c r="D31" s="3" t="s">
        <v>213</v>
      </c>
      <c r="E31" s="14">
        <v>2435.3666727168898</v>
      </c>
      <c r="F31" s="14">
        <v>2355.543027581879</v>
      </c>
      <c r="G31" s="14">
        <v>56.237831889713895</v>
      </c>
      <c r="H31" s="14">
        <v>54.312590856693696</v>
      </c>
      <c r="I31" s="14">
        <v>0</v>
      </c>
      <c r="J31" s="14">
        <v>0</v>
      </c>
      <c r="K31" s="16">
        <f>E31*Assumptions!$C$9</f>
        <v>2679.0905766670435</v>
      </c>
      <c r="L31" s="16">
        <f>F31*Assumptions!$C$9</f>
        <v>2591.2784299902373</v>
      </c>
      <c r="M31" s="16">
        <f>G31*Assumptions!$C$9</f>
        <v>61.865938774564455</v>
      </c>
      <c r="N31" s="16">
        <f>H31*Assumptions!$C$9</f>
        <v>59.748025621214531</v>
      </c>
      <c r="O31" s="16">
        <f>I31*Assumptions!$C$9</f>
        <v>0</v>
      </c>
      <c r="P31" s="16">
        <f>J31*Assumptions!$C$9</f>
        <v>0</v>
      </c>
      <c r="Q31" s="9" t="s">
        <v>72</v>
      </c>
    </row>
    <row r="34" spans="1:17">
      <c r="A34" s="71" t="s">
        <v>146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</row>
    <row r="35" spans="1:17" ht="13.75" customHeight="1">
      <c r="A35" s="73" t="s">
        <v>216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</row>
    <row r="36" spans="1:17" ht="13.75" customHeight="1">
      <c r="A36" s="73" t="s">
        <v>217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</row>
    <row r="37" spans="1:17" ht="17.149999999999999" customHeight="1">
      <c r="A37" s="73" t="s">
        <v>218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</row>
  </sheetData>
  <mergeCells count="6">
    <mergeCell ref="A37:Q37"/>
    <mergeCell ref="A1:Q1"/>
    <mergeCell ref="B2:Q2"/>
    <mergeCell ref="A34:Q34"/>
    <mergeCell ref="A35:Q35"/>
    <mergeCell ref="A36:Q3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6"/>
  <sheetViews>
    <sheetView workbookViewId="0"/>
  </sheetViews>
  <sheetFormatPr defaultRowHeight="14.15"/>
  <cols>
    <col min="1" max="1" width="10" customWidth="1"/>
    <col min="2" max="4" width="16" customWidth="1"/>
    <col min="5" max="10" width="18" customWidth="1"/>
    <col min="11" max="11" width="58" customWidth="1"/>
  </cols>
  <sheetData>
    <row r="1" spans="1:11" ht="14.9" customHeight="1">
      <c r="A1" s="71" t="s">
        <v>219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>
      <c r="A2" t="s">
        <v>140</v>
      </c>
      <c r="B2" s="76" t="s">
        <v>79</v>
      </c>
      <c r="C2" s="77"/>
      <c r="D2" s="77"/>
      <c r="E2" s="77"/>
      <c r="F2" s="77"/>
      <c r="G2" s="77"/>
      <c r="H2" s="77"/>
      <c r="I2" s="77"/>
      <c r="J2" s="77"/>
      <c r="K2" s="77"/>
    </row>
    <row r="4" spans="1:11" ht="19.399999999999999" customHeight="1">
      <c r="A4" s="1" t="s">
        <v>142</v>
      </c>
      <c r="B4" s="1" t="s">
        <v>220</v>
      </c>
      <c r="C4" s="1" t="s">
        <v>221</v>
      </c>
      <c r="D4" s="1" t="s">
        <v>222</v>
      </c>
      <c r="E4" s="1" t="s">
        <v>223</v>
      </c>
      <c r="F4" s="1" t="s">
        <v>224</v>
      </c>
      <c r="G4" s="1" t="s">
        <v>225</v>
      </c>
      <c r="H4" s="1" t="s">
        <v>226</v>
      </c>
      <c r="I4" s="1" t="s">
        <v>227</v>
      </c>
      <c r="J4" s="1" t="s">
        <v>228</v>
      </c>
      <c r="K4" s="1" t="s">
        <v>23</v>
      </c>
    </row>
    <row r="5" spans="1:11">
      <c r="A5" s="3">
        <v>2024</v>
      </c>
      <c r="B5" s="12">
        <v>334</v>
      </c>
      <c r="C5" s="12">
        <v>334</v>
      </c>
      <c r="D5" s="12">
        <v>334</v>
      </c>
      <c r="E5" s="13">
        <f t="shared" ref="E5:E21" si="0">B5*4</f>
        <v>1336</v>
      </c>
      <c r="F5" s="13">
        <f t="shared" ref="F5:F21" si="1">C5*4</f>
        <v>1336</v>
      </c>
      <c r="G5" s="13">
        <f t="shared" ref="G5:G21" si="2">D5*4</f>
        <v>1336</v>
      </c>
      <c r="H5" s="17">
        <f>E5*Assumptions!$C$11</f>
        <v>1371.1537478202933</v>
      </c>
      <c r="I5" s="17">
        <f>F5*Assumptions!$C$11</f>
        <v>1371.1537478202933</v>
      </c>
      <c r="J5" s="17">
        <f>G5*Assumptions!$C$11</f>
        <v>1371.1537478202933</v>
      </c>
      <c r="K5" s="9" t="s">
        <v>79</v>
      </c>
    </row>
    <row r="6" spans="1:11">
      <c r="A6" s="3">
        <v>2025</v>
      </c>
      <c r="B6" s="12">
        <v>295</v>
      </c>
      <c r="C6" s="12">
        <v>321</v>
      </c>
      <c r="D6" s="12">
        <v>350</v>
      </c>
      <c r="E6" s="13">
        <f t="shared" si="0"/>
        <v>1180</v>
      </c>
      <c r="F6" s="13">
        <f t="shared" si="1"/>
        <v>1284</v>
      </c>
      <c r="G6" s="13">
        <f t="shared" si="2"/>
        <v>1400</v>
      </c>
      <c r="H6" s="17">
        <f>E6*Assumptions!$C$11</f>
        <v>1211.0489688831931</v>
      </c>
      <c r="I6" s="17">
        <f>F6*Assumptions!$C$11</f>
        <v>1317.7854881745932</v>
      </c>
      <c r="J6" s="17">
        <f>G6*Assumptions!$C$11</f>
        <v>1436.837759691924</v>
      </c>
      <c r="K6" s="9" t="s">
        <v>79</v>
      </c>
    </row>
    <row r="7" spans="1:11">
      <c r="A7" s="3">
        <v>2026</v>
      </c>
      <c r="B7" s="12">
        <v>255</v>
      </c>
      <c r="C7" s="12">
        <v>308</v>
      </c>
      <c r="D7" s="12">
        <v>366</v>
      </c>
      <c r="E7" s="13">
        <f t="shared" si="0"/>
        <v>1020</v>
      </c>
      <c r="F7" s="13">
        <f t="shared" si="1"/>
        <v>1232</v>
      </c>
      <c r="G7" s="13">
        <f t="shared" si="2"/>
        <v>1464</v>
      </c>
      <c r="H7" s="17">
        <f>E7*Assumptions!$C$11</f>
        <v>1046.8389392041161</v>
      </c>
      <c r="I7" s="17">
        <f>F7*Assumptions!$C$11</f>
        <v>1264.4172285288932</v>
      </c>
      <c r="J7" s="17">
        <f>G7*Assumptions!$C$11</f>
        <v>1502.5217715635549</v>
      </c>
      <c r="K7" s="9" t="s">
        <v>79</v>
      </c>
    </row>
    <row r="8" spans="1:11">
      <c r="A8" s="3">
        <v>2027</v>
      </c>
      <c r="B8" s="12">
        <v>243</v>
      </c>
      <c r="C8" s="12">
        <v>301</v>
      </c>
      <c r="D8" s="12">
        <v>363</v>
      </c>
      <c r="E8" s="13">
        <f t="shared" si="0"/>
        <v>972</v>
      </c>
      <c r="F8" s="13">
        <f t="shared" si="1"/>
        <v>1204</v>
      </c>
      <c r="G8" s="13">
        <f t="shared" si="2"/>
        <v>1452</v>
      </c>
      <c r="H8" s="17">
        <f>E8*Assumptions!$C$11</f>
        <v>997.575930300393</v>
      </c>
      <c r="I8" s="17">
        <f>F8*Assumptions!$C$11</f>
        <v>1235.6804733350548</v>
      </c>
      <c r="J8" s="17">
        <f>G8*Assumptions!$C$11</f>
        <v>1490.2060193376242</v>
      </c>
      <c r="K8" s="9" t="s">
        <v>79</v>
      </c>
    </row>
    <row r="9" spans="1:11">
      <c r="A9" s="3">
        <v>2028</v>
      </c>
      <c r="B9" s="12">
        <v>231</v>
      </c>
      <c r="C9" s="12">
        <v>293</v>
      </c>
      <c r="D9" s="12">
        <v>360</v>
      </c>
      <c r="E9" s="13">
        <f t="shared" si="0"/>
        <v>924</v>
      </c>
      <c r="F9" s="13">
        <f t="shared" si="1"/>
        <v>1172</v>
      </c>
      <c r="G9" s="13">
        <f t="shared" si="2"/>
        <v>1440</v>
      </c>
      <c r="H9" s="17">
        <f>E9*Assumptions!$C$11</f>
        <v>948.31292139666994</v>
      </c>
      <c r="I9" s="17">
        <f>F9*Assumptions!$C$11</f>
        <v>1202.8384673992393</v>
      </c>
      <c r="J9" s="17">
        <f>G9*Assumptions!$C$11</f>
        <v>1477.8902671116934</v>
      </c>
      <c r="K9" s="9" t="s">
        <v>79</v>
      </c>
    </row>
    <row r="10" spans="1:11">
      <c r="A10" s="3">
        <v>2029</v>
      </c>
      <c r="B10" s="12">
        <v>219</v>
      </c>
      <c r="C10" s="12">
        <v>286</v>
      </c>
      <c r="D10" s="12">
        <v>357</v>
      </c>
      <c r="E10" s="13">
        <f t="shared" si="0"/>
        <v>876</v>
      </c>
      <c r="F10" s="13">
        <f t="shared" si="1"/>
        <v>1144</v>
      </c>
      <c r="G10" s="13">
        <f t="shared" si="2"/>
        <v>1428</v>
      </c>
      <c r="H10" s="17">
        <f>E10*Assumptions!$C$11</f>
        <v>899.04991249294676</v>
      </c>
      <c r="I10" s="17">
        <f>F10*Assumptions!$C$11</f>
        <v>1174.1017122054009</v>
      </c>
      <c r="J10" s="17">
        <f>G10*Assumptions!$C$11</f>
        <v>1465.5745148857625</v>
      </c>
      <c r="K10" s="9" t="s">
        <v>79</v>
      </c>
    </row>
    <row r="11" spans="1:11">
      <c r="A11" s="3">
        <v>2030</v>
      </c>
      <c r="B11" s="12">
        <v>207</v>
      </c>
      <c r="C11" s="12">
        <v>279</v>
      </c>
      <c r="D11" s="12">
        <v>354</v>
      </c>
      <c r="E11" s="13">
        <f t="shared" si="0"/>
        <v>828</v>
      </c>
      <c r="F11" s="13">
        <f t="shared" si="1"/>
        <v>1116</v>
      </c>
      <c r="G11" s="13">
        <f t="shared" si="2"/>
        <v>1416</v>
      </c>
      <c r="H11" s="17">
        <f>E11*Assumptions!$C$11</f>
        <v>849.7869035892237</v>
      </c>
      <c r="I11" s="17">
        <f>F11*Assumptions!$C$11</f>
        <v>1145.3649570115624</v>
      </c>
      <c r="J11" s="17">
        <f>G11*Assumptions!$C$11</f>
        <v>1453.2587626598317</v>
      </c>
      <c r="K11" s="9" t="s">
        <v>79</v>
      </c>
    </row>
    <row r="12" spans="1:11">
      <c r="A12" s="3">
        <v>2031</v>
      </c>
      <c r="B12" s="12">
        <v>195</v>
      </c>
      <c r="C12" s="12">
        <v>272</v>
      </c>
      <c r="D12" s="12">
        <v>351</v>
      </c>
      <c r="E12" s="13">
        <f t="shared" si="0"/>
        <v>780</v>
      </c>
      <c r="F12" s="13">
        <f t="shared" si="1"/>
        <v>1088</v>
      </c>
      <c r="G12" s="13">
        <f t="shared" si="2"/>
        <v>1404</v>
      </c>
      <c r="H12" s="17">
        <f>E12*Assumptions!$C$11</f>
        <v>800.52389468550052</v>
      </c>
      <c r="I12" s="17">
        <f>F12*Assumptions!$C$11</f>
        <v>1116.6282018177239</v>
      </c>
      <c r="J12" s="17">
        <f>G12*Assumptions!$C$11</f>
        <v>1440.943010433901</v>
      </c>
      <c r="K12" s="9" t="s">
        <v>79</v>
      </c>
    </row>
    <row r="13" spans="1:11">
      <c r="A13" s="3">
        <v>2032</v>
      </c>
      <c r="B13" s="12">
        <v>183</v>
      </c>
      <c r="C13" s="12">
        <v>265</v>
      </c>
      <c r="D13" s="12">
        <v>348</v>
      </c>
      <c r="E13" s="13">
        <f t="shared" si="0"/>
        <v>732</v>
      </c>
      <c r="F13" s="13">
        <f t="shared" si="1"/>
        <v>1060</v>
      </c>
      <c r="G13" s="13">
        <f t="shared" si="2"/>
        <v>1392</v>
      </c>
      <c r="H13" s="17">
        <f>E13*Assumptions!$C$11</f>
        <v>751.26088578177746</v>
      </c>
      <c r="I13" s="17">
        <f>F13*Assumptions!$C$11</f>
        <v>1087.8914466238855</v>
      </c>
      <c r="J13" s="17">
        <f>G13*Assumptions!$C$11</f>
        <v>1428.6272582079703</v>
      </c>
      <c r="K13" s="9" t="s">
        <v>79</v>
      </c>
    </row>
    <row r="14" spans="1:11">
      <c r="A14" s="3">
        <v>2033</v>
      </c>
      <c r="B14" s="12">
        <v>171</v>
      </c>
      <c r="C14" s="12">
        <v>257</v>
      </c>
      <c r="D14" s="12">
        <v>345</v>
      </c>
      <c r="E14" s="13">
        <f t="shared" si="0"/>
        <v>684</v>
      </c>
      <c r="F14" s="13">
        <f t="shared" si="1"/>
        <v>1028</v>
      </c>
      <c r="G14" s="13">
        <f t="shared" si="2"/>
        <v>1380</v>
      </c>
      <c r="H14" s="17">
        <f>E14*Assumptions!$C$11</f>
        <v>701.99787687805429</v>
      </c>
      <c r="I14" s="17">
        <f>F14*Assumptions!$C$11</f>
        <v>1055.04944068807</v>
      </c>
      <c r="J14" s="17">
        <f>G14*Assumptions!$C$11</f>
        <v>1416.3115059820395</v>
      </c>
      <c r="K14" s="9" t="s">
        <v>79</v>
      </c>
    </row>
    <row r="15" spans="1:11">
      <c r="A15" s="3">
        <v>2034</v>
      </c>
      <c r="B15" s="12">
        <v>159</v>
      </c>
      <c r="C15" s="12">
        <v>250</v>
      </c>
      <c r="D15" s="12">
        <v>342</v>
      </c>
      <c r="E15" s="13">
        <f t="shared" si="0"/>
        <v>636</v>
      </c>
      <c r="F15" s="13">
        <f t="shared" si="1"/>
        <v>1000</v>
      </c>
      <c r="G15" s="13">
        <f t="shared" si="2"/>
        <v>1368</v>
      </c>
      <c r="H15" s="17">
        <f>E15*Assumptions!$C$11</f>
        <v>652.73486797433122</v>
      </c>
      <c r="I15" s="17">
        <f>F15*Assumptions!$C$11</f>
        <v>1026.3126854942316</v>
      </c>
      <c r="J15" s="17">
        <f>G15*Assumptions!$C$11</f>
        <v>1403.9957537561086</v>
      </c>
      <c r="K15" s="9" t="s">
        <v>79</v>
      </c>
    </row>
    <row r="16" spans="1:11">
      <c r="A16" s="3">
        <v>2035</v>
      </c>
      <c r="B16" s="12">
        <v>147</v>
      </c>
      <c r="C16" s="12">
        <v>243</v>
      </c>
      <c r="D16" s="12">
        <v>339</v>
      </c>
      <c r="E16" s="13">
        <f t="shared" si="0"/>
        <v>588</v>
      </c>
      <c r="F16" s="13">
        <f t="shared" si="1"/>
        <v>972</v>
      </c>
      <c r="G16" s="13">
        <f t="shared" si="2"/>
        <v>1356</v>
      </c>
      <c r="H16" s="17">
        <f>E16*Assumptions!$C$11</f>
        <v>603.47185907060816</v>
      </c>
      <c r="I16" s="17">
        <f>F16*Assumptions!$C$11</f>
        <v>997.575930300393</v>
      </c>
      <c r="J16" s="17">
        <f>G16*Assumptions!$C$11</f>
        <v>1391.6800015301778</v>
      </c>
      <c r="K16" s="9" t="s">
        <v>79</v>
      </c>
    </row>
    <row r="17" spans="1:11">
      <c r="A17" s="3">
        <v>2036</v>
      </c>
      <c r="B17" s="12">
        <v>145</v>
      </c>
      <c r="C17" s="12">
        <v>239</v>
      </c>
      <c r="D17" s="12">
        <v>337</v>
      </c>
      <c r="E17" s="13">
        <f t="shared" si="0"/>
        <v>580</v>
      </c>
      <c r="F17" s="13">
        <f t="shared" si="1"/>
        <v>956</v>
      </c>
      <c r="G17" s="13">
        <f t="shared" si="2"/>
        <v>1348</v>
      </c>
      <c r="H17" s="17">
        <f>E17*Assumptions!$C$11</f>
        <v>595.2613575866543</v>
      </c>
      <c r="I17" s="17">
        <f>F17*Assumptions!$C$11</f>
        <v>981.15492733248527</v>
      </c>
      <c r="J17" s="17">
        <f>G17*Assumptions!$C$11</f>
        <v>1383.4695000462241</v>
      </c>
      <c r="K17" s="9" t="s">
        <v>79</v>
      </c>
    </row>
    <row r="18" spans="1:11">
      <c r="A18" s="3">
        <v>2037</v>
      </c>
      <c r="B18" s="12">
        <v>142</v>
      </c>
      <c r="C18" s="12">
        <v>234</v>
      </c>
      <c r="D18" s="12">
        <v>335</v>
      </c>
      <c r="E18" s="13">
        <f t="shared" si="0"/>
        <v>568</v>
      </c>
      <c r="F18" s="13">
        <f t="shared" si="1"/>
        <v>936</v>
      </c>
      <c r="G18" s="13">
        <f t="shared" si="2"/>
        <v>1340</v>
      </c>
      <c r="H18" s="17">
        <f>E18*Assumptions!$C$11</f>
        <v>582.94560536072345</v>
      </c>
      <c r="I18" s="17">
        <f>F18*Assumptions!$C$11</f>
        <v>960.62867362260067</v>
      </c>
      <c r="J18" s="17">
        <f>G18*Assumptions!$C$11</f>
        <v>1375.2589985622701</v>
      </c>
      <c r="K18" s="9" t="s">
        <v>79</v>
      </c>
    </row>
    <row r="19" spans="1:11">
      <c r="A19" s="3">
        <v>2038</v>
      </c>
      <c r="B19" s="12">
        <v>139</v>
      </c>
      <c r="C19" s="12">
        <v>230</v>
      </c>
      <c r="D19" s="12">
        <v>333</v>
      </c>
      <c r="E19" s="13">
        <f t="shared" si="0"/>
        <v>556</v>
      </c>
      <c r="F19" s="13">
        <f t="shared" si="1"/>
        <v>920</v>
      </c>
      <c r="G19" s="13">
        <f t="shared" si="2"/>
        <v>1332</v>
      </c>
      <c r="H19" s="17">
        <f>E19*Assumptions!$C$11</f>
        <v>570.62985313479271</v>
      </c>
      <c r="I19" s="17">
        <f>F19*Assumptions!$C$11</f>
        <v>944.20767065469295</v>
      </c>
      <c r="J19" s="17">
        <f>G19*Assumptions!$C$11</f>
        <v>1367.0484970783164</v>
      </c>
      <c r="K19" s="9" t="s">
        <v>79</v>
      </c>
    </row>
    <row r="20" spans="1:11">
      <c r="A20" s="3">
        <v>2039</v>
      </c>
      <c r="B20" s="12">
        <v>137</v>
      </c>
      <c r="C20" s="12">
        <v>226</v>
      </c>
      <c r="D20" s="12">
        <v>331</v>
      </c>
      <c r="E20" s="13">
        <f t="shared" si="0"/>
        <v>548</v>
      </c>
      <c r="F20" s="13">
        <f t="shared" si="1"/>
        <v>904</v>
      </c>
      <c r="G20" s="13">
        <f t="shared" si="2"/>
        <v>1324</v>
      </c>
      <c r="H20" s="17">
        <f>E20*Assumptions!$C$11</f>
        <v>562.41935165083885</v>
      </c>
      <c r="I20" s="17">
        <f>F20*Assumptions!$C$11</f>
        <v>927.78666768678522</v>
      </c>
      <c r="J20" s="17">
        <f>G20*Assumptions!$C$11</f>
        <v>1358.8379955943624</v>
      </c>
      <c r="K20" s="9" t="s">
        <v>79</v>
      </c>
    </row>
    <row r="21" spans="1:11">
      <c r="A21" s="3">
        <v>2040</v>
      </c>
      <c r="B21" s="12">
        <v>134</v>
      </c>
      <c r="C21" s="12">
        <v>221</v>
      </c>
      <c r="D21" s="12">
        <v>329</v>
      </c>
      <c r="E21" s="13">
        <f t="shared" si="0"/>
        <v>536</v>
      </c>
      <c r="F21" s="13">
        <f t="shared" si="1"/>
        <v>884</v>
      </c>
      <c r="G21" s="13">
        <f t="shared" si="2"/>
        <v>1316</v>
      </c>
      <c r="H21" s="17">
        <f>E21*Assumptions!$C$11</f>
        <v>550.10359942490811</v>
      </c>
      <c r="I21" s="17">
        <f>F21*Assumptions!$C$11</f>
        <v>907.26041397690062</v>
      </c>
      <c r="J21" s="17">
        <f>G21*Assumptions!$C$11</f>
        <v>1350.6274941104086</v>
      </c>
      <c r="K21" s="9" t="s">
        <v>79</v>
      </c>
    </row>
    <row r="24" spans="1:11">
      <c r="A24" s="71" t="s">
        <v>146</v>
      </c>
      <c r="B24" s="71"/>
      <c r="C24" s="71"/>
      <c r="D24" s="71"/>
      <c r="E24" s="71"/>
      <c r="F24" s="71"/>
      <c r="G24" s="71"/>
      <c r="H24" s="71"/>
      <c r="I24" s="71"/>
      <c r="J24" s="71"/>
      <c r="K24" s="71"/>
    </row>
    <row r="25" spans="1:11" ht="17.149999999999999" customHeight="1">
      <c r="A25" s="73" t="s">
        <v>229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</row>
    <row r="26" spans="1:11" ht="13.75" customHeight="1">
      <c r="A26" s="73" t="s">
        <v>230</v>
      </c>
      <c r="B26" s="73"/>
      <c r="C26" s="73"/>
      <c r="D26" s="73"/>
      <c r="E26" s="73"/>
      <c r="F26" s="73"/>
      <c r="G26" s="73"/>
      <c r="H26" s="73"/>
      <c r="I26" s="73"/>
      <c r="J26" s="73"/>
      <c r="K26" s="73"/>
    </row>
  </sheetData>
  <mergeCells count="5">
    <mergeCell ref="A1:K1"/>
    <mergeCell ref="B2:K2"/>
    <mergeCell ref="A24:K24"/>
    <mergeCell ref="A25:K25"/>
    <mergeCell ref="A26:K2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"/>
  <sheetViews>
    <sheetView workbookViewId="0">
      <selection sqref="A1:I1"/>
    </sheetView>
  </sheetViews>
  <sheetFormatPr defaultRowHeight="14.15"/>
  <cols>
    <col min="1" max="1" width="25" customWidth="1"/>
    <col min="2" max="2" width="14" customWidth="1"/>
    <col min="3" max="4" width="18" customWidth="1"/>
    <col min="5" max="5" width="22" customWidth="1"/>
    <col min="6" max="6" width="20" customWidth="1"/>
    <col min="7" max="7" width="34" customWidth="1"/>
    <col min="8" max="8" width="51" customWidth="1"/>
    <col min="9" max="9" width="58" customWidth="1"/>
  </cols>
  <sheetData>
    <row r="1" spans="1:9" ht="14.9" customHeight="1">
      <c r="A1" s="71" t="s">
        <v>231</v>
      </c>
      <c r="B1" s="71"/>
      <c r="C1" s="71"/>
      <c r="D1" s="71"/>
      <c r="E1" s="71"/>
      <c r="F1" s="71"/>
      <c r="G1" s="71"/>
      <c r="H1" s="71"/>
      <c r="I1" s="71"/>
    </row>
    <row r="4" spans="1:9" ht="19.399999999999999" customHeight="1">
      <c r="A4" s="1" t="s">
        <v>25</v>
      </c>
      <c r="B4" s="1" t="s">
        <v>232</v>
      </c>
      <c r="C4" s="1" t="s">
        <v>233</v>
      </c>
      <c r="D4" s="1" t="s">
        <v>234</v>
      </c>
      <c r="E4" s="1" t="s">
        <v>235</v>
      </c>
      <c r="F4" s="1" t="s">
        <v>236</v>
      </c>
      <c r="G4" s="1" t="s">
        <v>237</v>
      </c>
      <c r="H4" s="1" t="s">
        <v>146</v>
      </c>
      <c r="I4" s="1" t="s">
        <v>23</v>
      </c>
    </row>
    <row r="5" spans="1:9">
      <c r="A5" s="3" t="s">
        <v>238</v>
      </c>
      <c r="B5" s="3" t="s">
        <v>54</v>
      </c>
      <c r="C5" s="3" t="s">
        <v>239</v>
      </c>
      <c r="D5" s="12">
        <v>1370</v>
      </c>
      <c r="E5" s="12" t="s">
        <v>240</v>
      </c>
      <c r="F5" s="17">
        <f>D5*Assumptions!$C$10</f>
        <v>1447.5189201252369</v>
      </c>
      <c r="G5" t="s">
        <v>241</v>
      </c>
      <c r="H5" t="s">
        <v>242</v>
      </c>
      <c r="I5" s="9" t="s">
        <v>85</v>
      </c>
    </row>
    <row r="6" spans="1:9">
      <c r="A6" s="3" t="s">
        <v>243</v>
      </c>
      <c r="B6" s="3" t="s">
        <v>75</v>
      </c>
      <c r="C6" s="3" t="s">
        <v>244</v>
      </c>
      <c r="D6" s="12">
        <v>1610</v>
      </c>
      <c r="E6" s="12" t="s">
        <v>245</v>
      </c>
      <c r="F6" s="17">
        <f>D6*Assumptions!$C$11</f>
        <v>1652.3634236457126</v>
      </c>
      <c r="G6" t="s">
        <v>246</v>
      </c>
      <c r="H6" t="s">
        <v>247</v>
      </c>
      <c r="I6" s="9" t="s">
        <v>89</v>
      </c>
    </row>
    <row r="8" spans="1:9">
      <c r="A8" s="71" t="s">
        <v>248</v>
      </c>
      <c r="B8" s="71"/>
      <c r="C8" s="71"/>
      <c r="D8" s="71"/>
      <c r="E8" s="71"/>
      <c r="F8" s="71"/>
      <c r="G8" s="71"/>
      <c r="H8" s="71"/>
      <c r="I8" s="71"/>
    </row>
    <row r="9" spans="1:9" ht="13.75" customHeight="1">
      <c r="A9" s="73" t="s">
        <v>249</v>
      </c>
      <c r="B9" s="73"/>
      <c r="C9" s="73"/>
      <c r="D9" s="73"/>
      <c r="E9" s="73"/>
      <c r="F9" s="73"/>
      <c r="G9" s="73"/>
      <c r="H9" s="73"/>
      <c r="I9" s="73"/>
    </row>
    <row r="10" spans="1:9" ht="13.75" customHeight="1">
      <c r="A10" s="73" t="s">
        <v>250</v>
      </c>
      <c r="B10" s="73"/>
      <c r="C10" s="73"/>
      <c r="D10" s="73"/>
      <c r="E10" s="73"/>
      <c r="F10" s="73"/>
      <c r="G10" s="73"/>
      <c r="H10" s="73"/>
      <c r="I10" s="73"/>
    </row>
  </sheetData>
  <mergeCells count="4">
    <mergeCell ref="A1:I1"/>
    <mergeCell ref="A8:I8"/>
    <mergeCell ref="A9:I9"/>
    <mergeCell ref="A10:I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9"/>
  <sheetViews>
    <sheetView workbookViewId="0">
      <selection sqref="A1:N1"/>
    </sheetView>
  </sheetViews>
  <sheetFormatPr defaultRowHeight="14.15"/>
  <cols>
    <col min="1" max="1" width="19" customWidth="1"/>
    <col min="2" max="2" width="16" customWidth="1"/>
    <col min="3" max="4" width="17" customWidth="1"/>
    <col min="5" max="5" width="19" customWidth="1"/>
    <col min="6" max="8" width="18" customWidth="1"/>
    <col min="9" max="9" width="16" customWidth="1"/>
    <col min="10" max="11" width="17" customWidth="1"/>
    <col min="12" max="12" width="19" customWidth="1"/>
    <col min="13" max="13" width="18" customWidth="1"/>
    <col min="14" max="14" width="48" customWidth="1"/>
    <col min="15" max="16" width="18" customWidth="1"/>
    <col min="17" max="17" width="42" customWidth="1"/>
  </cols>
  <sheetData>
    <row r="1" spans="1:17" ht="14.9" customHeight="1">
      <c r="A1" s="71" t="s">
        <v>251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4" spans="1:17" ht="19.399999999999999" customHeight="1">
      <c r="A4" s="1" t="s">
        <v>25</v>
      </c>
      <c r="B4" s="1" t="s">
        <v>252</v>
      </c>
      <c r="C4" s="1" t="s">
        <v>253</v>
      </c>
      <c r="D4" s="1" t="s">
        <v>254</v>
      </c>
      <c r="E4" s="1" t="s">
        <v>255</v>
      </c>
      <c r="F4" s="1" t="s">
        <v>256</v>
      </c>
      <c r="G4" s="1" t="s">
        <v>257</v>
      </c>
      <c r="H4" s="1" t="s">
        <v>258</v>
      </c>
      <c r="I4" s="1" t="s">
        <v>259</v>
      </c>
      <c r="J4" s="1" t="s">
        <v>260</v>
      </c>
      <c r="K4" s="1" t="s">
        <v>261</v>
      </c>
      <c r="L4" s="1" t="s">
        <v>262</v>
      </c>
      <c r="M4" s="1" t="s">
        <v>263</v>
      </c>
      <c r="N4" s="1" t="s">
        <v>177</v>
      </c>
      <c r="O4" s="47" t="s">
        <v>264</v>
      </c>
      <c r="P4" s="47" t="s">
        <v>265</v>
      </c>
      <c r="Q4" s="47" t="s">
        <v>266</v>
      </c>
    </row>
    <row r="5" spans="1:17" ht="28.3">
      <c r="A5" t="s">
        <v>28</v>
      </c>
      <c r="B5" s="17">
        <f>ERCOT_LTSA_2026!B30</f>
        <v>1314.8599322494424</v>
      </c>
      <c r="C5" s="17">
        <f>NLR_ATB_2024b!K6</f>
        <v>1543.7456881747923</v>
      </c>
      <c r="D5" s="17">
        <f>NLR_ATB_2024b!K5</f>
        <v>1519.3507551209702</v>
      </c>
      <c r="E5" s="17">
        <f>NLR_ATB_2024b!K7</f>
        <v>1568.1406212286149</v>
      </c>
      <c r="F5" s="17">
        <f>EIA_AEO2026_TRE!G6</f>
        <v>930</v>
      </c>
      <c r="G5" s="17"/>
      <c r="H5" s="17"/>
      <c r="I5" s="17">
        <f>ERCOT_LTSA_2026!B35</f>
        <v>1254.1144077010592</v>
      </c>
      <c r="J5" s="17">
        <f>NLR_ATB_2024b!L6</f>
        <v>1477.7935576071725</v>
      </c>
      <c r="K5" s="17">
        <f>NLR_ATB_2024b!L5</f>
        <v>1438.0751741426577</v>
      </c>
      <c r="L5" s="17">
        <f>NLR_ATB_2024b!L7</f>
        <v>1517.3893534684014</v>
      </c>
      <c r="M5" s="17"/>
      <c r="N5" s="10" t="s">
        <v>267</v>
      </c>
      <c r="O5" s="46">
        <f>Recommended_CEM_Base!D4</f>
        <v>1314.8599322494424</v>
      </c>
      <c r="P5" s="46">
        <f>Recommended_CEM_Base!K4</f>
        <v>1254.1144077010592</v>
      </c>
      <c r="Q5" s="10" t="str">
        <f>Recommended_CEM_Base!O4</f>
        <v>ERCOT 2026 LTSA</v>
      </c>
    </row>
    <row r="6" spans="1:17" ht="28.3">
      <c r="A6" t="s">
        <v>30</v>
      </c>
      <c r="B6" s="17">
        <f>ERCOT_LTSA_2026!C30</f>
        <v>1193.7780148867721</v>
      </c>
      <c r="C6" s="17">
        <f>NLR_ATB_2024b!K9</f>
        <v>1397.6212650584298</v>
      </c>
      <c r="D6" s="17">
        <f>NLR_ATB_2024b!K8</f>
        <v>1397.6212650584298</v>
      </c>
      <c r="E6" s="17">
        <f>NLR_ATB_2024b!K10</f>
        <v>1397.6212650584298</v>
      </c>
      <c r="F6" s="17">
        <f>EIA_AEO2026_TRE!G9</f>
        <v>1033</v>
      </c>
      <c r="G6" s="17"/>
      <c r="H6" s="17"/>
      <c r="I6" s="17">
        <f>ERCOT_LTSA_2026!C35</f>
        <v>1109.3160796791281</v>
      </c>
      <c r="J6" s="17">
        <f>NLR_ATB_2024b!L9</f>
        <v>1343.6827196127927</v>
      </c>
      <c r="K6" s="17">
        <f>NLR_ATB_2024b!L8</f>
        <v>1343.6827196127927</v>
      </c>
      <c r="L6" s="17">
        <f>NLR_ATB_2024b!L10</f>
        <v>1343.6827196127927</v>
      </c>
      <c r="M6" s="17"/>
      <c r="N6" s="10" t="s">
        <v>268</v>
      </c>
      <c r="O6" s="46">
        <f>Recommended_CEM_Base!D5</f>
        <v>1193.7780148867721</v>
      </c>
      <c r="P6" s="46">
        <f>Recommended_CEM_Base!K5</f>
        <v>1109.3160796791281</v>
      </c>
      <c r="Q6" s="10" t="str">
        <f>Recommended_CEM_Base!O5</f>
        <v>ERCOT 2026 LTSA</v>
      </c>
    </row>
    <row r="7" spans="1:17" ht="28.3">
      <c r="A7" t="s">
        <v>32</v>
      </c>
      <c r="B7" s="17">
        <f>ERCOT_LTSA_2026!E30</f>
        <v>8608.4758729400746</v>
      </c>
      <c r="C7" s="17">
        <f>NLR_ATB_2024b!K12</f>
        <v>10615.742659349387</v>
      </c>
      <c r="D7" s="17">
        <f>NLR_ATB_2024b!K11</f>
        <v>7058.9076303962838</v>
      </c>
      <c r="E7" s="17">
        <f>NLR_ATB_2024b!K13</f>
        <v>13950.214487486255</v>
      </c>
      <c r="F7" s="17">
        <f>EIA_AEO2026_TRE!G11</f>
        <v>9366</v>
      </c>
      <c r="G7" s="17"/>
      <c r="H7" s="17"/>
      <c r="I7" s="17">
        <f>ERCOT_LTSA_2026!E35</f>
        <v>8133.6438590541438</v>
      </c>
      <c r="J7" s="17">
        <f>NLR_ATB_2024b!L12</f>
        <v>8649.864389099499</v>
      </c>
      <c r="K7" s="17">
        <f>NLR_ATB_2024b!L11</f>
        <v>4222.7393860406346</v>
      </c>
      <c r="L7" s="17">
        <f>NLR_ATB_2024b!L13</f>
        <v>13259.609809887927</v>
      </c>
      <c r="M7" s="17"/>
      <c r="N7" s="10" t="s">
        <v>269</v>
      </c>
      <c r="O7" s="46">
        <f>Recommended_CEM_Base!D7</f>
        <v>8608.4758729400746</v>
      </c>
      <c r="P7" s="46">
        <f>Recommended_CEM_Base!K7</f>
        <v>8133.6438590541438</v>
      </c>
      <c r="Q7" s="10" t="str">
        <f>Recommended_CEM_Base!O7</f>
        <v>ERCOT 2026 LTSA</v>
      </c>
    </row>
    <row r="8" spans="1:17" ht="28.3">
      <c r="A8" t="s">
        <v>33</v>
      </c>
      <c r="B8" s="17">
        <f>ERCOT_LTSA_2026!F30</f>
        <v>2010.8567313119031</v>
      </c>
      <c r="C8" s="17">
        <f>NLR_ATB_2024b!K15</f>
        <v>1548.8567926780634</v>
      </c>
      <c r="D8" s="17">
        <f>NLR_ATB_2024b!K14</f>
        <v>1475.9427050752938</v>
      </c>
      <c r="E8" s="17">
        <f>NLR_ATB_2024b!K16</f>
        <v>1735.2522368634307</v>
      </c>
      <c r="F8" s="17">
        <f>EIA_AEO2026_TRE!G13</f>
        <v>1562</v>
      </c>
      <c r="G8" s="17"/>
      <c r="H8" s="17">
        <f>LBNL_Actuals!F5</f>
        <v>1447.5189201252369</v>
      </c>
      <c r="I8" s="17">
        <f>ERCOT_LTSA_2026!F35</f>
        <v>1960.4084743858125</v>
      </c>
      <c r="J8" s="17">
        <f>NLR_ATB_2024b!L15</f>
        <v>1468.2637787643903</v>
      </c>
      <c r="K8" s="17">
        <f>NLR_ATB_2024b!L14</f>
        <v>1384.7759578488854</v>
      </c>
      <c r="L8" s="17">
        <f>NLR_ATB_2024b!L16</f>
        <v>1674.4836962244528</v>
      </c>
      <c r="M8" s="17"/>
      <c r="N8" s="10" t="s">
        <v>270</v>
      </c>
      <c r="O8" s="46">
        <f>Recommended_CEM_Base!D8</f>
        <v>1548.8567926780634</v>
      </c>
      <c r="P8" s="46">
        <f>Recommended_CEM_Base!K8</f>
        <v>1468.2637787643903</v>
      </c>
      <c r="Q8" s="10" t="str">
        <f>Recommended_CEM_Base!O8</f>
        <v>NLR/NREL ATB 2024b Moderate — Wind Class 1</v>
      </c>
    </row>
    <row r="9" spans="1:17" ht="28.3">
      <c r="A9" t="s">
        <v>34</v>
      </c>
      <c r="B9" s="17">
        <f>ERCOT_LTSA_2026!G30</f>
        <v>1171.3554375973886</v>
      </c>
      <c r="C9" s="17">
        <f>NLR_ATB_2024b!K21</f>
        <v>1312.9207959775317</v>
      </c>
      <c r="D9" s="17">
        <f>NLR_ATB_2024b!K20</f>
        <v>1176.6053635577277</v>
      </c>
      <c r="E9" s="17">
        <f>NLR_ATB_2024b!K22</f>
        <v>1501.5364604176284</v>
      </c>
      <c r="F9" s="17">
        <f>EIA_AEO2026_TRE!G14</f>
        <v>1342</v>
      </c>
      <c r="G9" s="17"/>
      <c r="H9" s="17">
        <f>LBNL_Actuals!F6</f>
        <v>1652.3634236457126</v>
      </c>
      <c r="I9" s="17">
        <f>ERCOT_LTSA_2026!G35</f>
        <v>1052.2011836260331</v>
      </c>
      <c r="J9" s="17">
        <f>NLR_ATB_2024b!L21</f>
        <v>984.92209236180895</v>
      </c>
      <c r="K9" s="17">
        <f>NLR_ATB_2024b!L20</f>
        <v>751.23849392785849</v>
      </c>
      <c r="L9" s="17">
        <f>NLR_ATB_2024b!L22</f>
        <v>1308.2632314019725</v>
      </c>
      <c r="M9" s="17"/>
      <c r="N9" s="10" t="s">
        <v>271</v>
      </c>
      <c r="O9" s="46">
        <f>Recommended_CEM_Base!D9</f>
        <v>1171.3554375973886</v>
      </c>
      <c r="P9" s="46">
        <f>Recommended_CEM_Base!K9</f>
        <v>1052.2011836260331</v>
      </c>
      <c r="Q9" s="10" t="str">
        <f>Recommended_CEM_Base!O9</f>
        <v>ERCOT 2026 LTSA</v>
      </c>
    </row>
    <row r="10" spans="1:17" ht="28.3">
      <c r="A10" t="s">
        <v>35</v>
      </c>
      <c r="B10" s="17">
        <f>ERCOT_LTSA_2026!H30</f>
        <v>697.79060524561135</v>
      </c>
      <c r="C10" s="17">
        <f>NLR_ATB_2024b!K24</f>
        <v>1036.245584780534</v>
      </c>
      <c r="D10" s="17">
        <f>NLR_ATB_2024b!K23</f>
        <v>776.74217941883671</v>
      </c>
      <c r="E10" s="17">
        <f>NLR_ATB_2024b!K25</f>
        <v>1225.9949175817555</v>
      </c>
      <c r="F10" s="17"/>
      <c r="G10" s="17"/>
      <c r="H10" s="17"/>
      <c r="I10" s="17">
        <f>ERCOT_LTSA_2026!H35</f>
        <v>645.15699485327104</v>
      </c>
      <c r="J10" s="17">
        <f>NLR_ATB_2024b!L24</f>
        <v>972.84687199054997</v>
      </c>
      <c r="K10" s="17">
        <f>NLR_ATB_2024b!L23</f>
        <v>718.12138602546747</v>
      </c>
      <c r="L10" s="17">
        <f>NLR_ATB_2024b!L25</f>
        <v>1187.9279209893396</v>
      </c>
      <c r="M10" s="17"/>
      <c r="N10" s="10" t="s">
        <v>272</v>
      </c>
      <c r="O10" s="46">
        <f>Recommended_CEM_Base!D10</f>
        <v>697.79060524561135</v>
      </c>
      <c r="P10" s="46">
        <f>Recommended_CEM_Base!K10</f>
        <v>645.15699485327104</v>
      </c>
      <c r="Q10" s="10" t="str">
        <f>Recommended_CEM_Base!O10</f>
        <v>ERCOT 2026 LTSA</v>
      </c>
    </row>
    <row r="11" spans="1:17" ht="28.3">
      <c r="A11" t="s">
        <v>36</v>
      </c>
      <c r="B11" s="17">
        <f>ERCOT_LTSA_2026!I30</f>
        <v>1200.9532396193747</v>
      </c>
      <c r="C11" s="17">
        <f>NLR_ATB_2024b!K27</f>
        <v>1596.5587638748848</v>
      </c>
      <c r="D11" s="17">
        <f>NLR_ATB_2024b!K26</f>
        <v>1229.4452257124651</v>
      </c>
      <c r="E11" s="17">
        <f>NLR_ATB_2024b!K28</f>
        <v>1952.5427471243995</v>
      </c>
      <c r="F11" s="17">
        <f>EIA_AEO2026_TRE!G12</f>
        <v>1500</v>
      </c>
      <c r="G11" s="17">
        <f>NLR_BESS_2025!I11</f>
        <v>1145.3649570115624</v>
      </c>
      <c r="H11" s="17"/>
      <c r="I11" s="17">
        <f>ERCOT_LTSA_2026!I35</f>
        <v>1110.9249499904829</v>
      </c>
      <c r="J11" s="17">
        <f>NLR_ATB_2024b!L27</f>
        <v>1482.2396354104462</v>
      </c>
      <c r="K11" s="17">
        <f>NLR_ATB_2024b!L26</f>
        <v>1131.662013599459</v>
      </c>
      <c r="L11" s="17">
        <f>NLR_ATB_2024b!L28</f>
        <v>1889.6031754897883</v>
      </c>
      <c r="M11" s="17">
        <f>NLR_BESS_2025!I16</f>
        <v>997.575930300393</v>
      </c>
      <c r="N11" s="10" t="s">
        <v>273</v>
      </c>
      <c r="O11" s="46">
        <f>Recommended_CEM_Base!D11</f>
        <v>1145.3649570115624</v>
      </c>
      <c r="P11" s="46">
        <f>Recommended_CEM_Base!K11</f>
        <v>997.575930300393</v>
      </c>
      <c r="Q11" s="10" t="str">
        <f>Recommended_CEM_Base!O11</f>
        <v>NLR 2025 Utility-Scale Battery Storage — Mid</v>
      </c>
    </row>
    <row r="12" spans="1:17" ht="28.3">
      <c r="A12" t="s">
        <v>37</v>
      </c>
      <c r="B12" s="17">
        <f>ERCOT_LTSA_2026!J30</f>
        <v>1705.0127770847134</v>
      </c>
      <c r="C12" s="17">
        <f>NLR_ATB_2024b!K30</f>
        <v>2156.8719429692355</v>
      </c>
      <c r="D12" s="17">
        <f>NLR_ATB_2024b!K29</f>
        <v>1682.148272006094</v>
      </c>
      <c r="E12" s="17">
        <f>NLR_ATB_2024b!K31</f>
        <v>2679.0905766670435</v>
      </c>
      <c r="F12" s="17"/>
      <c r="G12" s="17"/>
      <c r="H12" s="17"/>
      <c r="I12" s="17">
        <f>ERCOT_LTSA_2026!J35</f>
        <v>1576.6929051276948</v>
      </c>
      <c r="J12" s="17">
        <f>NLR_ATB_2024b!L30</f>
        <v>1991.6323988303423</v>
      </c>
      <c r="K12" s="17">
        <f>NLR_ATB_2024b!L29</f>
        <v>1545.2026411734505</v>
      </c>
      <c r="L12" s="17">
        <f>NLR_ATB_2024b!L31</f>
        <v>2591.2784299902373</v>
      </c>
      <c r="M12" s="17"/>
      <c r="N12" s="10" t="s">
        <v>272</v>
      </c>
      <c r="O12" s="46">
        <f>Recommended_CEM_Base!D12</f>
        <v>1705.0127770847134</v>
      </c>
      <c r="P12" s="46">
        <f>Recommended_CEM_Base!K12</f>
        <v>1576.6929051276948</v>
      </c>
      <c r="Q12" s="10" t="str">
        <f>Recommended_CEM_Base!O12</f>
        <v>ERCOT 2026 LTSA</v>
      </c>
    </row>
    <row r="13" spans="1:17" ht="26.25" customHeight="1">
      <c r="A13" t="s">
        <v>38</v>
      </c>
      <c r="N13" s="10" t="s">
        <v>274</v>
      </c>
      <c r="O13" s="53">
        <f>Recommended_CEM_Base!D13</f>
        <v>800</v>
      </c>
      <c r="P13" s="53">
        <f>Recommended_CEM_Base!K13</f>
        <v>800</v>
      </c>
      <c r="Q13" s="10" t="s">
        <v>275</v>
      </c>
    </row>
    <row r="14" spans="1:17" ht="26.25" customHeight="1">
      <c r="A14" s="74" t="s">
        <v>40</v>
      </c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 t="s">
        <v>276</v>
      </c>
      <c r="O14" s="53">
        <f>Recommended_CEM_Base!D15</f>
        <v>1373.8712923956705</v>
      </c>
      <c r="P14" s="53">
        <f>Recommended_CEM_Base!K15</f>
        <v>1373.8712923956705</v>
      </c>
      <c r="Q14" s="10" t="s">
        <v>277</v>
      </c>
    </row>
    <row r="15" spans="1:17" ht="13.75" customHeight="1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</row>
    <row r="16" spans="1:17" ht="17.149999999999999" customHeight="1">
      <c r="A16" s="73" t="s">
        <v>278</v>
      </c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10"/>
      <c r="P16" s="10"/>
      <c r="Q16" s="10"/>
    </row>
    <row r="17" spans="1:17" ht="13.75" customHeight="1">
      <c r="A17" s="73" t="s">
        <v>279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10"/>
      <c r="P17" s="10"/>
      <c r="Q17" s="10"/>
    </row>
    <row r="18" spans="1:17" ht="84.9">
      <c r="A18" s="10" t="s">
        <v>280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7" ht="99">
      <c r="A19" s="10" t="s">
        <v>281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</sheetData>
  <mergeCells count="5">
    <mergeCell ref="A1:N1"/>
    <mergeCell ref="A14:N14"/>
    <mergeCell ref="A15:N15"/>
    <mergeCell ref="A16:N16"/>
    <mergeCell ref="A17:N1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8"/>
  <sheetViews>
    <sheetView workbookViewId="0">
      <selection sqref="A1:Q1"/>
    </sheetView>
  </sheetViews>
  <sheetFormatPr defaultRowHeight="14.15"/>
  <cols>
    <col min="1" max="1" width="20" customWidth="1"/>
    <col min="2" max="2" width="14" customWidth="1"/>
    <col min="3" max="3" width="12" customWidth="1"/>
    <col min="4" max="4" width="18" customWidth="1"/>
    <col min="5" max="5" width="10" customWidth="1"/>
    <col min="6" max="6" width="21" customWidth="1"/>
    <col min="7" max="7" width="19" customWidth="1"/>
    <col min="8" max="8" width="21" customWidth="1"/>
    <col min="9" max="10" width="17" customWidth="1"/>
    <col min="11" max="11" width="18" customWidth="1"/>
    <col min="12" max="12" width="21" customWidth="1"/>
    <col min="13" max="13" width="19" customWidth="1"/>
    <col min="14" max="14" width="21" customWidth="1"/>
    <col min="15" max="15" width="20" customWidth="1"/>
    <col min="16" max="16" width="30" customWidth="1"/>
    <col min="17" max="17" width="55" customWidth="1"/>
  </cols>
  <sheetData>
    <row r="1" spans="1:17" ht="14.9" customHeight="1">
      <c r="A1" s="71" t="s">
        <v>282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</row>
    <row r="2" spans="1:17" ht="18.350000000000001" customHeight="1">
      <c r="A2" s="81" t="s">
        <v>283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</row>
    <row r="3" spans="1:17" ht="19.399999999999999" customHeight="1">
      <c r="A3" s="1" t="s">
        <v>25</v>
      </c>
      <c r="B3" s="1" t="s">
        <v>26</v>
      </c>
      <c r="C3" s="1" t="s">
        <v>284</v>
      </c>
      <c r="D3" s="1" t="s">
        <v>285</v>
      </c>
      <c r="E3" s="1" t="s">
        <v>286</v>
      </c>
      <c r="F3" s="1" t="s">
        <v>287</v>
      </c>
      <c r="G3" s="1" t="s">
        <v>288</v>
      </c>
      <c r="H3" s="1" t="s">
        <v>289</v>
      </c>
      <c r="I3" s="1" t="s">
        <v>158</v>
      </c>
      <c r="J3" s="1" t="s">
        <v>290</v>
      </c>
      <c r="K3" s="1" t="s">
        <v>291</v>
      </c>
      <c r="L3" s="1" t="s">
        <v>292</v>
      </c>
      <c r="M3" s="1" t="s">
        <v>293</v>
      </c>
      <c r="N3" s="1" t="s">
        <v>294</v>
      </c>
      <c r="O3" s="1" t="s">
        <v>295</v>
      </c>
      <c r="P3" s="1" t="s">
        <v>296</v>
      </c>
      <c r="Q3" s="1" t="s">
        <v>297</v>
      </c>
    </row>
    <row r="4" spans="1:17" ht="28.3">
      <c r="A4" t="s">
        <v>28</v>
      </c>
      <c r="B4" s="15">
        <f>Assumptions!B15</f>
        <v>30</v>
      </c>
      <c r="C4" s="18">
        <f>Assumptions!$B$5</f>
        <v>7.0000000000000007E-2</v>
      </c>
      <c r="D4" s="16">
        <f>ERCOT_LTSA_2026!B30</f>
        <v>1314.8599322494424</v>
      </c>
      <c r="E4" s="19">
        <f t="shared" ref="E4:E14" si="0">C4*(1+C4)^B4/((1+C4)^B4-1)</f>
        <v>8.0586403511111196E-2</v>
      </c>
      <c r="F4" s="16">
        <f t="shared" ref="F4:F14" si="1">D4*E4</f>
        <v>105.9598330608459</v>
      </c>
      <c r="G4" s="16">
        <f>EIA_AEO2026_TRE!H6</f>
        <v>12.69</v>
      </c>
      <c r="H4" s="16">
        <f t="shared" ref="H4:H12" si="2">F4+IF(G4="",0,G4)</f>
        <v>118.64983306084589</v>
      </c>
      <c r="I4" s="16">
        <f>EIA_AEO2026_TRE!I6</f>
        <v>3.57</v>
      </c>
      <c r="J4" s="17">
        <f>EIA_AEO2026_TRE!J6</f>
        <v>6226</v>
      </c>
      <c r="K4" s="16">
        <f>ERCOT_LTSA_2026!B35</f>
        <v>1254.1144077010592</v>
      </c>
      <c r="L4" s="16">
        <f t="shared" ref="L4:L14" si="3">K4*E4</f>
        <v>101.06456970809577</v>
      </c>
      <c r="M4" s="16">
        <f>EIA_AEO2026_TRE!H6</f>
        <v>12.69</v>
      </c>
      <c r="N4" s="16">
        <f t="shared" ref="N4:N12" si="4">L4+IF(M4="",0,M4)</f>
        <v>113.75456970809577</v>
      </c>
      <c r="O4" s="10" t="s">
        <v>11</v>
      </c>
      <c r="P4" s="10" t="s">
        <v>298</v>
      </c>
      <c r="Q4" s="10" t="s">
        <v>299</v>
      </c>
    </row>
    <row r="5" spans="1:17" ht="28.3">
      <c r="A5" t="s">
        <v>30</v>
      </c>
      <c r="B5" s="15">
        <f>Assumptions!B16</f>
        <v>30</v>
      </c>
      <c r="C5" s="18">
        <f>Assumptions!$B$5</f>
        <v>7.0000000000000007E-2</v>
      </c>
      <c r="D5" s="16">
        <f>ERCOT_LTSA_2026!C30</f>
        <v>1193.7780148867721</v>
      </c>
      <c r="E5" s="19">
        <f t="shared" si="0"/>
        <v>8.0586403511111196E-2</v>
      </c>
      <c r="F5" s="16">
        <f t="shared" si="1"/>
        <v>96.202276810358725</v>
      </c>
      <c r="G5" s="16">
        <f>EIA_AEO2026_TRE!H9</f>
        <v>7.18</v>
      </c>
      <c r="H5" s="16">
        <f t="shared" si="2"/>
        <v>103.38227681035872</v>
      </c>
      <c r="I5" s="16">
        <f>EIA_AEO2026_TRE!I9</f>
        <v>4.17</v>
      </c>
      <c r="J5" s="17">
        <f>EIA_AEO2026_TRE!J9</f>
        <v>9142</v>
      </c>
      <c r="K5" s="16">
        <f>ERCOT_LTSA_2026!C35</f>
        <v>1109.3160796791281</v>
      </c>
      <c r="L5" s="16">
        <f t="shared" si="3"/>
        <v>89.395793218386189</v>
      </c>
      <c r="M5" s="16">
        <f>EIA_AEO2026_TRE!H9</f>
        <v>7.18</v>
      </c>
      <c r="N5" s="16">
        <f t="shared" si="4"/>
        <v>96.575793218386195</v>
      </c>
      <c r="O5" s="10" t="s">
        <v>11</v>
      </c>
      <c r="P5" s="10" t="s">
        <v>298</v>
      </c>
      <c r="Q5" s="10" t="s">
        <v>300</v>
      </c>
    </row>
    <row r="6" spans="1:17" ht="28.3">
      <c r="A6" t="s">
        <v>31</v>
      </c>
      <c r="B6" s="15">
        <f>Assumptions!B17</f>
        <v>30</v>
      </c>
      <c r="C6" s="18">
        <f>Assumptions!$B$5</f>
        <v>7.0000000000000007E-2</v>
      </c>
      <c r="D6" s="16">
        <f>ERCOT_LTSA_2026!D30</f>
        <v>2102.3408466525875</v>
      </c>
      <c r="E6" s="19">
        <f t="shared" si="0"/>
        <v>8.0586403511111196E-2</v>
      </c>
      <c r="F6" s="16">
        <f t="shared" si="1"/>
        <v>169.42008778623656</v>
      </c>
      <c r="G6" s="16"/>
      <c r="H6" s="16">
        <f t="shared" si="2"/>
        <v>169.42008778623656</v>
      </c>
      <c r="I6" s="16"/>
      <c r="J6" s="17"/>
      <c r="K6" s="16">
        <f>ERCOT_LTSA_2026!D35</f>
        <v>2036.829814175165</v>
      </c>
      <c r="L6" s="16">
        <f t="shared" si="3"/>
        <v>164.14078928858149</v>
      </c>
      <c r="M6" s="16"/>
      <c r="N6" s="16">
        <f t="shared" si="4"/>
        <v>164.14078928858149</v>
      </c>
      <c r="O6" s="10" t="s">
        <v>11</v>
      </c>
      <c r="P6" s="10" t="s">
        <v>301</v>
      </c>
      <c r="Q6" s="10" t="s">
        <v>302</v>
      </c>
    </row>
    <row r="7" spans="1:17" ht="28.3">
      <c r="A7" t="s">
        <v>32</v>
      </c>
      <c r="B7" s="15">
        <f>Assumptions!B18</f>
        <v>60</v>
      </c>
      <c r="C7" s="18">
        <f>Assumptions!$B$5</f>
        <v>7.0000000000000007E-2</v>
      </c>
      <c r="D7" s="16">
        <f>ERCOT_LTSA_2026!E30</f>
        <v>8608.4758729400746</v>
      </c>
      <c r="E7" s="19">
        <f t="shared" si="0"/>
        <v>7.122922550001945E-2</v>
      </c>
      <c r="F7" s="16">
        <f t="shared" si="1"/>
        <v>613.17506916512536</v>
      </c>
      <c r="G7" s="16">
        <f>EIA_AEO2026_TRE!H11</f>
        <v>127.62</v>
      </c>
      <c r="H7" s="16">
        <f t="shared" si="2"/>
        <v>740.79506916512537</v>
      </c>
      <c r="I7" s="16">
        <f>EIA_AEO2026_TRE!I11</f>
        <v>3.32</v>
      </c>
      <c r="J7" s="17">
        <f>EIA_AEO2026_TRE!J11</f>
        <v>10445</v>
      </c>
      <c r="K7" s="16">
        <f>ERCOT_LTSA_2026!E35</f>
        <v>8133.6438590541438</v>
      </c>
      <c r="L7" s="16">
        <f t="shared" si="3"/>
        <v>579.35315257341597</v>
      </c>
      <c r="M7" s="16">
        <f>EIA_AEO2026_TRE!H11</f>
        <v>127.62</v>
      </c>
      <c r="N7" s="16">
        <f t="shared" si="4"/>
        <v>706.97315257341597</v>
      </c>
      <c r="O7" s="10" t="s">
        <v>11</v>
      </c>
      <c r="P7" s="10" t="s">
        <v>298</v>
      </c>
      <c r="Q7" s="10" t="s">
        <v>303</v>
      </c>
    </row>
    <row r="8" spans="1:17" ht="28.3">
      <c r="A8" t="s">
        <v>33</v>
      </c>
      <c r="B8" s="15">
        <f>Assumptions!B19</f>
        <v>30</v>
      </c>
      <c r="C8" s="18">
        <f>Assumptions!$B$5</f>
        <v>7.0000000000000007E-2</v>
      </c>
      <c r="D8" s="16">
        <f>ERCOT_LTSA_2026!F30</f>
        <v>2010.8567313119031</v>
      </c>
      <c r="E8" s="19">
        <f t="shared" si="0"/>
        <v>8.0586403511111196E-2</v>
      </c>
      <c r="F8" s="16">
        <f t="shared" si="1"/>
        <v>162.04771195253514</v>
      </c>
      <c r="G8" s="16">
        <f>EIA_AEO2026_TRE!H13</f>
        <v>34.57</v>
      </c>
      <c r="H8" s="16">
        <f t="shared" si="2"/>
        <v>196.61771195253513</v>
      </c>
      <c r="I8" s="16">
        <f>EIA_AEO2026_TRE!I13</f>
        <v>0</v>
      </c>
      <c r="J8" s="17"/>
      <c r="K8" s="16">
        <f>ERCOT_LTSA_2026!F35</f>
        <v>1960.4084743858125</v>
      </c>
      <c r="L8" s="16">
        <f t="shared" si="3"/>
        <v>157.982268363457</v>
      </c>
      <c r="M8" s="16">
        <f>EIA_AEO2026_TRE!H13</f>
        <v>34.57</v>
      </c>
      <c r="N8" s="16">
        <f t="shared" si="4"/>
        <v>192.55226836345699</v>
      </c>
      <c r="O8" s="10" t="s">
        <v>11</v>
      </c>
      <c r="P8" s="10" t="s">
        <v>298</v>
      </c>
      <c r="Q8" s="10" t="s">
        <v>304</v>
      </c>
    </row>
    <row r="9" spans="1:17" ht="28.3">
      <c r="A9" t="s">
        <v>34</v>
      </c>
      <c r="B9" s="15">
        <f>Assumptions!B20</f>
        <v>30</v>
      </c>
      <c r="C9" s="18">
        <f>Assumptions!$B$5</f>
        <v>7.0000000000000007E-2</v>
      </c>
      <c r="D9" s="16">
        <f>ERCOT_LTSA_2026!G30</f>
        <v>1171.3554375973886</v>
      </c>
      <c r="E9" s="19">
        <f t="shared" si="0"/>
        <v>8.0586403511111196E-2</v>
      </c>
      <c r="F9" s="16">
        <f t="shared" si="1"/>
        <v>94.395321949157392</v>
      </c>
      <c r="G9" s="16">
        <f>EIA_AEO2026_TRE!H14</f>
        <v>23.6</v>
      </c>
      <c r="H9" s="16">
        <f t="shared" si="2"/>
        <v>117.99532194915739</v>
      </c>
      <c r="I9" s="16">
        <f>EIA_AEO2026_TRE!I14</f>
        <v>0</v>
      </c>
      <c r="J9" s="17"/>
      <c r="K9" s="16">
        <f>ERCOT_LTSA_2026!G35</f>
        <v>1052.2011836260331</v>
      </c>
      <c r="L9" s="16">
        <f t="shared" si="3"/>
        <v>84.793109158556305</v>
      </c>
      <c r="M9" s="16">
        <f>EIA_AEO2026_TRE!H14</f>
        <v>23.6</v>
      </c>
      <c r="N9" s="16">
        <f t="shared" si="4"/>
        <v>108.39310915855631</v>
      </c>
      <c r="O9" s="10" t="s">
        <v>11</v>
      </c>
      <c r="P9" s="10" t="s">
        <v>298</v>
      </c>
      <c r="Q9" s="10" t="s">
        <v>305</v>
      </c>
    </row>
    <row r="10" spans="1:17" ht="28.3">
      <c r="A10" t="s">
        <v>35</v>
      </c>
      <c r="B10" s="15">
        <f>Assumptions!B21</f>
        <v>15</v>
      </c>
      <c r="C10" s="18">
        <f>Assumptions!$B$5</f>
        <v>7.0000000000000007E-2</v>
      </c>
      <c r="D10" s="16">
        <f>ERCOT_LTSA_2026!H30</f>
        <v>697.79060524561135</v>
      </c>
      <c r="E10" s="19">
        <f t="shared" si="0"/>
        <v>0.10979462470100652</v>
      </c>
      <c r="F10" s="16">
        <f t="shared" si="1"/>
        <v>76.61365762283009</v>
      </c>
      <c r="G10" s="16">
        <f>NLR_ATB_2024b!M24</f>
        <v>22.242684487916868</v>
      </c>
      <c r="H10" s="16">
        <f t="shared" si="2"/>
        <v>98.856342110746965</v>
      </c>
      <c r="I10" s="16">
        <f>NLR_ATB_2024b!O24</f>
        <v>0</v>
      </c>
      <c r="J10" s="17"/>
      <c r="K10" s="16">
        <f>ERCOT_LTSA_2026!H35</f>
        <v>645.15699485327104</v>
      </c>
      <c r="L10" s="16">
        <f t="shared" si="3"/>
        <v>70.834770123144096</v>
      </c>
      <c r="M10" s="16">
        <f>NLR_ATB_2024b!N24</f>
        <v>20.713591158521847</v>
      </c>
      <c r="N10" s="16">
        <f t="shared" si="4"/>
        <v>91.548361281665947</v>
      </c>
      <c r="O10" s="10" t="s">
        <v>11</v>
      </c>
      <c r="P10" s="10" t="s">
        <v>306</v>
      </c>
      <c r="Q10" s="10" t="s">
        <v>307</v>
      </c>
    </row>
    <row r="11" spans="1:17" ht="28.3">
      <c r="A11" t="s">
        <v>36</v>
      </c>
      <c r="B11" s="15">
        <f>Assumptions!B22</f>
        <v>15</v>
      </c>
      <c r="C11" s="18">
        <f>Assumptions!$B$5</f>
        <v>7.0000000000000007E-2</v>
      </c>
      <c r="D11" s="16">
        <f>ERCOT_LTSA_2026!I30</f>
        <v>1200.9532396193747</v>
      </c>
      <c r="E11" s="19">
        <f t="shared" si="0"/>
        <v>0.10979462470100652</v>
      </c>
      <c r="F11" s="16">
        <f t="shared" si="1"/>
        <v>131.8582102274672</v>
      </c>
      <c r="G11" s="16">
        <f>NLR_ATB_2024b!M27</f>
        <v>35.756699312846301</v>
      </c>
      <c r="H11" s="16">
        <f t="shared" si="2"/>
        <v>167.6149095403135</v>
      </c>
      <c r="I11" s="16">
        <f>NLR_ATB_2024b!O27</f>
        <v>0</v>
      </c>
      <c r="J11" s="17"/>
      <c r="K11" s="16">
        <f>ERCOT_LTSA_2026!I35</f>
        <v>1110.9249499904829</v>
      </c>
      <c r="L11" s="16">
        <f t="shared" si="3"/>
        <v>121.97358795518952</v>
      </c>
      <c r="M11" s="16">
        <f>NLR_ATB_2024b!N27</f>
        <v>32.999472721570122</v>
      </c>
      <c r="N11" s="16">
        <f t="shared" si="4"/>
        <v>154.97306067675964</v>
      </c>
      <c r="O11" s="10" t="s">
        <v>11</v>
      </c>
      <c r="P11" s="10" t="s">
        <v>306</v>
      </c>
      <c r="Q11" s="10" t="s">
        <v>308</v>
      </c>
    </row>
    <row r="12" spans="1:17" ht="28.3">
      <c r="A12" t="s">
        <v>37</v>
      </c>
      <c r="B12" s="15">
        <f>Assumptions!B23</f>
        <v>15</v>
      </c>
      <c r="C12" s="18">
        <f>Assumptions!$B$5</f>
        <v>7.0000000000000007E-2</v>
      </c>
      <c r="D12" s="16">
        <f>ERCOT_LTSA_2026!J30</f>
        <v>1705.0127770847134</v>
      </c>
      <c r="E12" s="19">
        <f t="shared" si="0"/>
        <v>0.10979462470100652</v>
      </c>
      <c r="F12" s="16">
        <f t="shared" si="1"/>
        <v>187.20123797043701</v>
      </c>
      <c r="G12" s="16">
        <f>NLR_ATB_2024b!M30</f>
        <v>49.270714137775734</v>
      </c>
      <c r="H12" s="16">
        <f t="shared" si="2"/>
        <v>236.47195210821275</v>
      </c>
      <c r="I12" s="16">
        <f>NLR_ATB_2024b!O30</f>
        <v>0</v>
      </c>
      <c r="J12" s="17"/>
      <c r="K12" s="16">
        <f>ERCOT_LTSA_2026!J35</f>
        <v>1576.6929051276948</v>
      </c>
      <c r="L12" s="16">
        <f t="shared" si="3"/>
        <v>173.11240578723493</v>
      </c>
      <c r="M12" s="16">
        <f>NLR_ATB_2024b!N30</f>
        <v>45.2853542846184</v>
      </c>
      <c r="N12" s="16">
        <f t="shared" si="4"/>
        <v>218.39776007185333</v>
      </c>
      <c r="O12" s="10" t="s">
        <v>11</v>
      </c>
      <c r="P12" s="10" t="s">
        <v>306</v>
      </c>
      <c r="Q12" s="10" t="s">
        <v>307</v>
      </c>
    </row>
    <row r="13" spans="1:17" ht="26.25" customHeight="1">
      <c r="A13" t="s">
        <v>38</v>
      </c>
      <c r="B13">
        <f>Assumptions!B24</f>
        <v>20</v>
      </c>
      <c r="C13" s="2">
        <f>Assumptions!$B$5</f>
        <v>7.0000000000000007E-2</v>
      </c>
      <c r="D13" s="46">
        <f>Diesel_Review!B20</f>
        <v>800</v>
      </c>
      <c r="E13" s="46">
        <f t="shared" si="0"/>
        <v>9.4392925743255696E-2</v>
      </c>
      <c r="F13" s="46">
        <f t="shared" si="1"/>
        <v>75.514340594604562</v>
      </c>
      <c r="G13" s="46">
        <f>Diesel_Review!D20</f>
        <v>35</v>
      </c>
      <c r="H13" s="46">
        <f>F13+G13</f>
        <v>110.51434059460456</v>
      </c>
      <c r="I13" s="46">
        <f>Diesel_Review!E20</f>
        <v>0</v>
      </c>
      <c r="J13" s="46">
        <f>Diesel_Review!F20*1000</f>
        <v>9500</v>
      </c>
      <c r="K13" s="46">
        <f>Diesel_Review!C20</f>
        <v>800</v>
      </c>
      <c r="L13" s="46">
        <f t="shared" si="3"/>
        <v>75.514340594604562</v>
      </c>
      <c r="M13" s="46">
        <f>Diesel_Review!D20</f>
        <v>35</v>
      </c>
      <c r="N13" s="46">
        <f>L13+M13</f>
        <v>110.51434059460456</v>
      </c>
      <c r="O13" s="10" t="s">
        <v>309</v>
      </c>
      <c r="P13" s="10" t="s">
        <v>310</v>
      </c>
      <c r="Q13" s="10" t="s">
        <v>311</v>
      </c>
    </row>
    <row r="14" spans="1:17" ht="26.25" customHeight="1">
      <c r="A14" s="71" t="s">
        <v>40</v>
      </c>
      <c r="B14" s="71">
        <f>Assumptions!B25</f>
        <v>30</v>
      </c>
      <c r="C14" s="78">
        <f>Assumptions!$B$5</f>
        <v>7.0000000000000007E-2</v>
      </c>
      <c r="D14" s="79">
        <f>Diesel_Review!B21</f>
        <v>1373.8712923956705</v>
      </c>
      <c r="E14" s="79">
        <f t="shared" si="0"/>
        <v>8.0586403511111196E-2</v>
      </c>
      <c r="F14" s="79">
        <f t="shared" si="1"/>
        <v>110.71534634132934</v>
      </c>
      <c r="G14" s="79">
        <f>Diesel_Review!D21</f>
        <v>44.276182072073119</v>
      </c>
      <c r="H14" s="79">
        <f>F14+G14</f>
        <v>154.99152841340245</v>
      </c>
      <c r="I14" s="79">
        <f>Diesel_Review!E21</f>
        <v>7.1652865753724715</v>
      </c>
      <c r="J14" s="79">
        <f>Diesel_Review!F21*1000</f>
        <v>9500</v>
      </c>
      <c r="K14" s="79">
        <f>Diesel_Review!C21</f>
        <v>1373.8712923956705</v>
      </c>
      <c r="L14" s="79">
        <f t="shared" si="3"/>
        <v>110.71534634132934</v>
      </c>
      <c r="M14" s="79">
        <f>Diesel_Review!D21</f>
        <v>44.276182072073119</v>
      </c>
      <c r="N14" s="79">
        <f>L14+M14</f>
        <v>154.99152841340245</v>
      </c>
      <c r="O14" s="74" t="s">
        <v>312</v>
      </c>
      <c r="P14" s="74" t="s">
        <v>313</v>
      </c>
      <c r="Q14" s="74" t="s">
        <v>314</v>
      </c>
    </row>
    <row r="15" spans="1:17" ht="17.149999999999999" customHeight="1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</row>
    <row r="16" spans="1:17" ht="13.75" customHeight="1">
      <c r="A16" s="80" t="s">
        <v>315</v>
      </c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</row>
    <row r="17" spans="1:17" ht="13.75" customHeight="1">
      <c r="A17" s="73" t="s">
        <v>316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</row>
    <row r="18" spans="1:17">
      <c r="A18" s="73" t="s">
        <v>317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</row>
  </sheetData>
  <mergeCells count="7">
    <mergeCell ref="A18:Q18"/>
    <mergeCell ref="A1:Q1"/>
    <mergeCell ref="A14:Q14"/>
    <mergeCell ref="A15:Q15"/>
    <mergeCell ref="A16:Q16"/>
    <mergeCell ref="A17:Q17"/>
    <mergeCell ref="A2:Q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31"/>
  <sheetViews>
    <sheetView workbookViewId="0">
      <selection sqref="A1:X1"/>
    </sheetView>
  </sheetViews>
  <sheetFormatPr defaultRowHeight="14.15"/>
  <cols>
    <col min="1" max="2" width="13" customWidth="1"/>
    <col min="3" max="3" width="18" customWidth="1"/>
    <col min="4" max="5" width="17" customWidth="1"/>
    <col min="6" max="6" width="18" customWidth="1"/>
    <col min="7" max="9" width="14" customWidth="1"/>
    <col min="10" max="12" width="12" customWidth="1"/>
    <col min="13" max="13" width="14" customWidth="1"/>
    <col min="14" max="14" width="20" customWidth="1"/>
    <col min="15" max="15" width="18" customWidth="1"/>
    <col min="16" max="16" width="24" customWidth="1"/>
    <col min="17" max="17" width="16" customWidth="1"/>
    <col min="18" max="18" width="18" customWidth="1"/>
    <col min="19" max="19" width="17" customWidth="1"/>
    <col min="20" max="20" width="48" customWidth="1"/>
    <col min="21" max="21" width="62" customWidth="1"/>
    <col min="22" max="22" width="15" customWidth="1"/>
    <col min="23" max="23" width="18" customWidth="1"/>
    <col min="24" max="24" width="25" customWidth="1"/>
  </cols>
  <sheetData>
    <row r="1" spans="1:24" ht="14.9" customHeight="1">
      <c r="A1" s="82" t="s">
        <v>318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</row>
    <row r="2" spans="1:24" ht="20.6" customHeight="1">
      <c r="A2" s="73" t="s">
        <v>319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</row>
    <row r="4" spans="1:24" ht="29.7" customHeight="1">
      <c r="A4" s="20" t="s">
        <v>320</v>
      </c>
      <c r="B4" s="20" t="s">
        <v>321</v>
      </c>
      <c r="C4" s="20" t="s">
        <v>322</v>
      </c>
      <c r="D4" s="20" t="s">
        <v>323</v>
      </c>
      <c r="E4" s="20" t="s">
        <v>324</v>
      </c>
      <c r="F4" s="20" t="s">
        <v>325</v>
      </c>
      <c r="G4" s="20" t="s">
        <v>326</v>
      </c>
      <c r="H4" s="20" t="s">
        <v>327</v>
      </c>
      <c r="I4" s="20" t="s">
        <v>328</v>
      </c>
      <c r="J4" s="20" t="s">
        <v>329</v>
      </c>
      <c r="K4" s="20" t="s">
        <v>330</v>
      </c>
      <c r="L4" s="20" t="s">
        <v>331</v>
      </c>
      <c r="M4" s="20" t="s">
        <v>332</v>
      </c>
      <c r="N4" s="20" t="s">
        <v>333</v>
      </c>
      <c r="O4" s="20" t="s">
        <v>334</v>
      </c>
      <c r="P4" s="20" t="s">
        <v>335</v>
      </c>
      <c r="Q4" s="20" t="s">
        <v>336</v>
      </c>
      <c r="R4" s="20" t="s">
        <v>337</v>
      </c>
      <c r="S4" s="20" t="s">
        <v>338</v>
      </c>
      <c r="T4" s="20" t="s">
        <v>339</v>
      </c>
      <c r="U4" s="20" t="s">
        <v>340</v>
      </c>
      <c r="V4" s="20" t="s">
        <v>341</v>
      </c>
      <c r="W4" s="20" t="s">
        <v>342</v>
      </c>
      <c r="X4" s="20" t="s">
        <v>343</v>
      </c>
    </row>
    <row r="5" spans="1:24" ht="42.45">
      <c r="A5" s="26" t="s">
        <v>344</v>
      </c>
      <c r="B5" s="26">
        <v>1</v>
      </c>
      <c r="C5" s="31">
        <f>IF(F5="","",Recommended_CEM_Base!H4*1000)</f>
        <v>118649.83306084589</v>
      </c>
      <c r="D5" s="31" t="str">
        <f>IF(OR(R5="",S5=""),"",Recommended_CEM_Base!I4+R5*S5)</f>
        <v/>
      </c>
      <c r="E5" s="31">
        <f>Recommended_CEM_Base!D4</f>
        <v>1314.8599322494424</v>
      </c>
      <c r="F5" s="31">
        <f>IF(Recommended_CEM_Base!G4="","",Recommended_CEM_Base!G4)</f>
        <v>12.69</v>
      </c>
      <c r="G5" s="32">
        <f>Recommended_CEM_Base!C4</f>
        <v>7.0000000000000007E-2</v>
      </c>
      <c r="H5" s="32">
        <f>Recommended_CEM_Base!E4</f>
        <v>8.0586403511111196E-2</v>
      </c>
      <c r="I5" s="33">
        <f>Recommended_CEM_Base!B4</f>
        <v>30</v>
      </c>
      <c r="J5" s="33">
        <v>2030</v>
      </c>
      <c r="K5" s="34"/>
      <c r="L5" s="34">
        <v>2025</v>
      </c>
      <c r="M5" s="35">
        <v>1</v>
      </c>
      <c r="N5" s="34" t="s">
        <v>345</v>
      </c>
      <c r="O5" s="34" t="s">
        <v>344</v>
      </c>
      <c r="P5" s="34" t="s">
        <v>346</v>
      </c>
      <c r="Q5" s="34" t="s">
        <v>347</v>
      </c>
      <c r="R5" s="37"/>
      <c r="S5" s="35">
        <f>IF(Recommended_CEM_Base!J4="","",Recommended_CEM_Base!J4/1000)</f>
        <v>6.226</v>
      </c>
      <c r="T5" s="30" t="s">
        <v>127</v>
      </c>
      <c r="U5" s="30" t="s">
        <v>348</v>
      </c>
      <c r="V5" s="26"/>
      <c r="W5" s="30" t="str">
        <f t="shared" ref="W5:W26" si="0">IF(COUNT(C5:F5)=4,"YES","NO")</f>
        <v>NO</v>
      </c>
      <c r="X5" s="30" t="str">
        <f>IF(F5="","FOM needed",IF(OR(R5="",S5=""),"Fuel price / heat rate needed","Ready"))</f>
        <v>Fuel price / heat rate needed</v>
      </c>
    </row>
    <row r="6" spans="1:24" ht="42.45">
      <c r="A6" s="26" t="s">
        <v>349</v>
      </c>
      <c r="B6" s="26">
        <v>1</v>
      </c>
      <c r="C6" s="31">
        <f>IF(F6="","",Recommended_CEM_Base!H5*1000)</f>
        <v>103382.27681035872</v>
      </c>
      <c r="D6" s="31" t="str">
        <f>IF(OR(R6="",S6=""),"",Recommended_CEM_Base!I5+R6*S6)</f>
        <v/>
      </c>
      <c r="E6" s="31">
        <f>Recommended_CEM_Base!D5</f>
        <v>1193.7780148867721</v>
      </c>
      <c r="F6" s="31">
        <f>IF(Recommended_CEM_Base!G5="","",Recommended_CEM_Base!G5)</f>
        <v>7.18</v>
      </c>
      <c r="G6" s="32">
        <f>Recommended_CEM_Base!C5</f>
        <v>7.0000000000000007E-2</v>
      </c>
      <c r="H6" s="32">
        <f>Recommended_CEM_Base!E5</f>
        <v>8.0586403511111196E-2</v>
      </c>
      <c r="I6" s="33">
        <f>Recommended_CEM_Base!B5</f>
        <v>30</v>
      </c>
      <c r="J6" s="33">
        <v>2030</v>
      </c>
      <c r="K6" s="34"/>
      <c r="L6" s="34">
        <v>2025</v>
      </c>
      <c r="M6" s="35">
        <v>1</v>
      </c>
      <c r="N6" s="34" t="s">
        <v>345</v>
      </c>
      <c r="O6" s="34" t="s">
        <v>349</v>
      </c>
      <c r="P6" s="34" t="s">
        <v>346</v>
      </c>
      <c r="Q6" s="34" t="s">
        <v>347</v>
      </c>
      <c r="R6" s="37"/>
      <c r="S6" s="35">
        <f>IF(Recommended_CEM_Base!J5="","",Recommended_CEM_Base!J5/1000)</f>
        <v>9.1419999999999995</v>
      </c>
      <c r="T6" s="30" t="s">
        <v>127</v>
      </c>
      <c r="U6" s="30" t="s">
        <v>348</v>
      </c>
      <c r="V6" s="26"/>
      <c r="W6" s="30" t="str">
        <f t="shared" si="0"/>
        <v>NO</v>
      </c>
      <c r="X6" s="30" t="str">
        <f>IF(F6="","FOM needed",IF(OR(R6="",S6=""),"Fuel price / heat rate needed","Ready"))</f>
        <v>Fuel price / heat rate needed</v>
      </c>
    </row>
    <row r="7" spans="1:24" ht="42.45">
      <c r="A7" s="26" t="s">
        <v>31</v>
      </c>
      <c r="B7" s="26">
        <v>1</v>
      </c>
      <c r="C7" s="31" t="str">
        <f>IF(F7="","",Recommended_CEM_Base!H6*1000)</f>
        <v/>
      </c>
      <c r="D7" s="31" t="str">
        <f>IF(OR(R7="",S7=""),"",Recommended_CEM_Base!I6+R7*S7)</f>
        <v/>
      </c>
      <c r="E7" s="31">
        <f>Recommended_CEM_Base!D6</f>
        <v>2102.3408466525875</v>
      </c>
      <c r="F7" s="31" t="str">
        <f>IF(Recommended_CEM_Base!G6="","",Recommended_CEM_Base!G6)</f>
        <v/>
      </c>
      <c r="G7" s="32">
        <f>Recommended_CEM_Base!C6</f>
        <v>7.0000000000000007E-2</v>
      </c>
      <c r="H7" s="32">
        <f>Recommended_CEM_Base!E6</f>
        <v>8.0586403511111196E-2</v>
      </c>
      <c r="I7" s="33">
        <f>Recommended_CEM_Base!B6</f>
        <v>30</v>
      </c>
      <c r="J7" s="33">
        <v>2030</v>
      </c>
      <c r="K7" s="34"/>
      <c r="L7" s="34">
        <v>2025</v>
      </c>
      <c r="M7" s="35">
        <v>1</v>
      </c>
      <c r="N7" s="34" t="s">
        <v>345</v>
      </c>
      <c r="O7" s="34" t="s">
        <v>31</v>
      </c>
      <c r="P7" s="34" t="s">
        <v>346</v>
      </c>
      <c r="Q7" s="34" t="s">
        <v>347</v>
      </c>
      <c r="R7" s="37"/>
      <c r="S7" s="36" t="str">
        <f>IF(Recommended_CEM_Base!J6="","",Recommended_CEM_Base!J6/1000)</f>
        <v/>
      </c>
      <c r="T7" s="30" t="s">
        <v>127</v>
      </c>
      <c r="U7" s="30" t="s">
        <v>348</v>
      </c>
      <c r="V7" s="26"/>
      <c r="W7" s="30" t="str">
        <f t="shared" si="0"/>
        <v>NO</v>
      </c>
      <c r="X7" s="30" t="str">
        <f>IF(F7="","FOM needed",IF(OR(R7="",S7=""),"Fuel price / heat rate needed","Ready"))</f>
        <v>FOM needed</v>
      </c>
    </row>
    <row r="8" spans="1:24" ht="42.45">
      <c r="A8" s="26" t="s">
        <v>350</v>
      </c>
      <c r="B8" s="26">
        <v>1</v>
      </c>
      <c r="C8" s="31">
        <f>IF(F8="","",Recommended_CEM_Base!H7*1000)</f>
        <v>740795.06916512537</v>
      </c>
      <c r="D8" s="31" t="str">
        <f>IF(OR(R8="",S8=""),"",Recommended_CEM_Base!I7+R8*S8)</f>
        <v/>
      </c>
      <c r="E8" s="31">
        <f>Recommended_CEM_Base!D7</f>
        <v>8608.4758729400746</v>
      </c>
      <c r="F8" s="31">
        <f>IF(Recommended_CEM_Base!G7="","",Recommended_CEM_Base!G7)</f>
        <v>127.62</v>
      </c>
      <c r="G8" s="32">
        <f>Recommended_CEM_Base!C7</f>
        <v>7.0000000000000007E-2</v>
      </c>
      <c r="H8" s="32">
        <f>Recommended_CEM_Base!E7</f>
        <v>7.122922550001945E-2</v>
      </c>
      <c r="I8" s="33">
        <f>Recommended_CEM_Base!B7</f>
        <v>60</v>
      </c>
      <c r="J8" s="33">
        <v>2030</v>
      </c>
      <c r="K8" s="34"/>
      <c r="L8" s="34">
        <v>2025</v>
      </c>
      <c r="M8" s="35">
        <v>1</v>
      </c>
      <c r="N8" s="34" t="s">
        <v>345</v>
      </c>
      <c r="O8" s="34" t="s">
        <v>350</v>
      </c>
      <c r="P8" s="34" t="s">
        <v>346</v>
      </c>
      <c r="Q8" s="34" t="s">
        <v>347</v>
      </c>
      <c r="R8" s="37"/>
      <c r="S8" s="35">
        <f>IF(Recommended_CEM_Base!J7="","",Recommended_CEM_Base!J7/1000)</f>
        <v>10.445</v>
      </c>
      <c r="T8" s="30" t="s">
        <v>127</v>
      </c>
      <c r="U8" s="30" t="s">
        <v>351</v>
      </c>
      <c r="V8" s="26"/>
      <c r="W8" s="30" t="str">
        <f t="shared" si="0"/>
        <v>NO</v>
      </c>
      <c r="X8" s="30" t="str">
        <f>IF(F8="","FOM needed",IF(OR(R8="",S8=""),"Fuel price / heat rate needed","Ready"))</f>
        <v>Fuel price / heat rate needed</v>
      </c>
    </row>
    <row r="9" spans="1:24" ht="42.45">
      <c r="A9" s="26" t="s">
        <v>352</v>
      </c>
      <c r="B9" s="26">
        <v>0</v>
      </c>
      <c r="C9" s="31">
        <f>IF(F9="","",Recommended_CEM_Base!H8*1000)</f>
        <v>157009.19880506711</v>
      </c>
      <c r="D9" s="31">
        <f>Recommended_CEM_Base!I8</f>
        <v>0</v>
      </c>
      <c r="E9" s="31">
        <f>Recommended_CEM_Base!D8</f>
        <v>1548.8567926780634</v>
      </c>
      <c r="F9" s="31">
        <f>IF(Recommended_CEM_Base!G8="","",Recommended_CEM_Base!G8)</f>
        <v>32.192400329387198</v>
      </c>
      <c r="G9" s="32">
        <f>Recommended_CEM_Base!C8</f>
        <v>7.0000000000000007E-2</v>
      </c>
      <c r="H9" s="32">
        <f>Recommended_CEM_Base!E8</f>
        <v>8.0586403511111196E-2</v>
      </c>
      <c r="I9" s="33">
        <f>Recommended_CEM_Base!B8</f>
        <v>30</v>
      </c>
      <c r="J9" s="33">
        <v>2030</v>
      </c>
      <c r="K9" s="34"/>
      <c r="L9" s="34">
        <v>2025</v>
      </c>
      <c r="M9" s="35">
        <v>1</v>
      </c>
      <c r="N9" s="34" t="s">
        <v>345</v>
      </c>
      <c r="O9" s="34" t="s">
        <v>352</v>
      </c>
      <c r="P9" s="34" t="s">
        <v>346</v>
      </c>
      <c r="Q9" s="34" t="s">
        <v>347</v>
      </c>
      <c r="R9" s="38">
        <v>0</v>
      </c>
      <c r="S9" s="35">
        <v>0</v>
      </c>
      <c r="T9" s="30" t="s">
        <v>127</v>
      </c>
      <c r="U9" s="30" t="s">
        <v>353</v>
      </c>
      <c r="V9" s="26"/>
      <c r="W9" s="30" t="str">
        <f t="shared" si="0"/>
        <v>YES</v>
      </c>
      <c r="X9" s="30" t="str">
        <f>IF(F9="","FOM needed","Ready")</f>
        <v>Ready</v>
      </c>
    </row>
    <row r="10" spans="1:24" ht="42.45">
      <c r="A10" s="26" t="s">
        <v>354</v>
      </c>
      <c r="B10" s="26">
        <v>0</v>
      </c>
      <c r="C10" s="31">
        <f>IF(F10="","",Recommended_CEM_Base!H9*1000)</f>
        <v>117995.32194915738</v>
      </c>
      <c r="D10" s="31">
        <f>Recommended_CEM_Base!I9</f>
        <v>0</v>
      </c>
      <c r="E10" s="31">
        <f>Recommended_CEM_Base!D9</f>
        <v>1171.3554375973886</v>
      </c>
      <c r="F10" s="31">
        <f>IF(Recommended_CEM_Base!G9="","",Recommended_CEM_Base!G9)</f>
        <v>23.6</v>
      </c>
      <c r="G10" s="32">
        <f>Recommended_CEM_Base!C9</f>
        <v>7.0000000000000007E-2</v>
      </c>
      <c r="H10" s="32">
        <f>Recommended_CEM_Base!E9</f>
        <v>8.0586403511111196E-2</v>
      </c>
      <c r="I10" s="33">
        <f>Recommended_CEM_Base!B9</f>
        <v>30</v>
      </c>
      <c r="J10" s="33">
        <v>2030</v>
      </c>
      <c r="K10" s="34"/>
      <c r="L10" s="34">
        <v>2025</v>
      </c>
      <c r="M10" s="35">
        <v>1</v>
      </c>
      <c r="N10" s="34" t="s">
        <v>345</v>
      </c>
      <c r="O10" s="34" t="s">
        <v>354</v>
      </c>
      <c r="P10" s="34" t="s">
        <v>346</v>
      </c>
      <c r="Q10" s="34" t="s">
        <v>347</v>
      </c>
      <c r="R10" s="38">
        <v>0</v>
      </c>
      <c r="S10" s="35">
        <v>0</v>
      </c>
      <c r="T10" s="30" t="s">
        <v>127</v>
      </c>
      <c r="U10" s="30" t="s">
        <v>355</v>
      </c>
      <c r="V10" s="26"/>
      <c r="W10" s="30" t="str">
        <f t="shared" si="0"/>
        <v>YES</v>
      </c>
      <c r="X10" s="30" t="str">
        <f>IF(F10="","FOM needed","Ready")</f>
        <v>Ready</v>
      </c>
    </row>
    <row r="11" spans="1:24" ht="42.45">
      <c r="A11" s="26" t="s">
        <v>356</v>
      </c>
      <c r="B11" s="26">
        <v>0</v>
      </c>
      <c r="C11" s="31">
        <f>IF(F11="","",Recommended_CEM_Base!H10*1000)</f>
        <v>98856.342110746962</v>
      </c>
      <c r="D11" s="31">
        <f>Recommended_CEM_Base!I10</f>
        <v>0</v>
      </c>
      <c r="E11" s="31">
        <f>Recommended_CEM_Base!D10</f>
        <v>697.79060524561135</v>
      </c>
      <c r="F11" s="31">
        <f>IF(Recommended_CEM_Base!G10="","",Recommended_CEM_Base!G10)</f>
        <v>22.242684487916868</v>
      </c>
      <c r="G11" s="32">
        <f>Recommended_CEM_Base!C10</f>
        <v>7.0000000000000007E-2</v>
      </c>
      <c r="H11" s="32">
        <f>Recommended_CEM_Base!E10</f>
        <v>0.10979462470100652</v>
      </c>
      <c r="I11" s="33">
        <f>Recommended_CEM_Base!B10</f>
        <v>15</v>
      </c>
      <c r="J11" s="33">
        <v>2030</v>
      </c>
      <c r="K11" s="34"/>
      <c r="L11" s="34">
        <v>2025</v>
      </c>
      <c r="M11" s="35">
        <v>1</v>
      </c>
      <c r="N11" s="34" t="s">
        <v>345</v>
      </c>
      <c r="O11" s="34" t="s">
        <v>357</v>
      </c>
      <c r="P11" s="34" t="s">
        <v>346</v>
      </c>
      <c r="Q11" s="34" t="s">
        <v>347</v>
      </c>
      <c r="R11" s="38">
        <v>0</v>
      </c>
      <c r="S11" s="35">
        <v>0</v>
      </c>
      <c r="T11" s="30" t="s">
        <v>127</v>
      </c>
      <c r="U11" s="30" t="s">
        <v>358</v>
      </c>
      <c r="V11" s="26">
        <v>2</v>
      </c>
      <c r="W11" s="30" t="str">
        <f t="shared" si="0"/>
        <v>YES</v>
      </c>
      <c r="X11" s="30" t="str">
        <f>IF(F11="","FOM needed","Ready")</f>
        <v>Ready</v>
      </c>
    </row>
    <row r="12" spans="1:24" ht="42.45">
      <c r="A12" s="26" t="s">
        <v>356</v>
      </c>
      <c r="B12" s="26">
        <v>1</v>
      </c>
      <c r="C12" s="31">
        <f>IF(F12="","",Recommended_CEM_Base!H11*1000)</f>
        <v>161511.61491361525</v>
      </c>
      <c r="D12" s="31">
        <f>Recommended_CEM_Base!I11</f>
        <v>0</v>
      </c>
      <c r="E12" s="31">
        <f>Recommended_CEM_Base!D11</f>
        <v>1145.3649570115624</v>
      </c>
      <c r="F12" s="31">
        <f>IF(Recommended_CEM_Base!G11="","",Recommended_CEM_Base!G11)</f>
        <v>35.756699312846301</v>
      </c>
      <c r="G12" s="32">
        <f>Recommended_CEM_Base!C11</f>
        <v>7.0000000000000007E-2</v>
      </c>
      <c r="H12" s="32">
        <f>Recommended_CEM_Base!E11</f>
        <v>0.10979462470100652</v>
      </c>
      <c r="I12" s="33">
        <f>Recommended_CEM_Base!B11</f>
        <v>15</v>
      </c>
      <c r="J12" s="33">
        <v>2030</v>
      </c>
      <c r="K12" s="34"/>
      <c r="L12" s="34">
        <v>2025</v>
      </c>
      <c r="M12" s="35">
        <v>1</v>
      </c>
      <c r="N12" s="34" t="s">
        <v>345</v>
      </c>
      <c r="O12" s="34" t="s">
        <v>359</v>
      </c>
      <c r="P12" s="34" t="s">
        <v>346</v>
      </c>
      <c r="Q12" s="34" t="s">
        <v>347</v>
      </c>
      <c r="R12" s="38">
        <v>0</v>
      </c>
      <c r="S12" s="35">
        <v>0</v>
      </c>
      <c r="T12" s="30" t="s">
        <v>127</v>
      </c>
      <c r="U12" s="30" t="s">
        <v>360</v>
      </c>
      <c r="V12" s="26">
        <v>4</v>
      </c>
      <c r="W12" s="30" t="str">
        <f t="shared" si="0"/>
        <v>YES</v>
      </c>
      <c r="X12" s="30" t="str">
        <f>IF(F12="","FOM needed","Ready")</f>
        <v>Ready</v>
      </c>
    </row>
    <row r="13" spans="1:24" ht="42.45">
      <c r="A13" s="26" t="s">
        <v>356</v>
      </c>
      <c r="B13" s="26">
        <v>0</v>
      </c>
      <c r="C13" s="31">
        <f>IF(F13="","",Recommended_CEM_Base!H12*1000)</f>
        <v>236471.95210821275</v>
      </c>
      <c r="D13" s="31">
        <f>Recommended_CEM_Base!I12</f>
        <v>0</v>
      </c>
      <c r="E13" s="31">
        <f>Recommended_CEM_Base!D12</f>
        <v>1705.0127770847134</v>
      </c>
      <c r="F13" s="31">
        <f>IF(Recommended_CEM_Base!G12="","",Recommended_CEM_Base!G12)</f>
        <v>49.270714137775734</v>
      </c>
      <c r="G13" s="32">
        <f>Recommended_CEM_Base!C12</f>
        <v>7.0000000000000007E-2</v>
      </c>
      <c r="H13" s="32">
        <f>Recommended_CEM_Base!E12</f>
        <v>0.10979462470100652</v>
      </c>
      <c r="I13" s="33">
        <f>Recommended_CEM_Base!B12</f>
        <v>15</v>
      </c>
      <c r="J13" s="33">
        <v>2030</v>
      </c>
      <c r="K13" s="34"/>
      <c r="L13" s="34">
        <v>2025</v>
      </c>
      <c r="M13" s="35">
        <v>1</v>
      </c>
      <c r="N13" s="34" t="s">
        <v>345</v>
      </c>
      <c r="O13" s="34" t="s">
        <v>361</v>
      </c>
      <c r="P13" s="34" t="s">
        <v>346</v>
      </c>
      <c r="Q13" s="34" t="s">
        <v>347</v>
      </c>
      <c r="R13" s="38">
        <v>0</v>
      </c>
      <c r="S13" s="35">
        <v>0</v>
      </c>
      <c r="T13" s="30" t="s">
        <v>127</v>
      </c>
      <c r="U13" s="30" t="s">
        <v>358</v>
      </c>
      <c r="V13" s="26">
        <v>6</v>
      </c>
      <c r="W13" s="30" t="str">
        <f t="shared" si="0"/>
        <v>YES</v>
      </c>
      <c r="X13" s="30" t="str">
        <f>IF(F13="","FOM needed","Ready")</f>
        <v>Ready</v>
      </c>
    </row>
    <row r="14" spans="1:24" ht="42.45">
      <c r="A14" s="26" t="s">
        <v>344</v>
      </c>
      <c r="B14" s="26">
        <v>1</v>
      </c>
      <c r="C14" s="31">
        <f>IF(F14="","",Recommended_CEM_Base!N4*1000)</f>
        <v>113754.56970809578</v>
      </c>
      <c r="D14" s="31" t="str">
        <f>IF(OR(R14="",S14=""),"",Recommended_CEM_Base!I4+R14*S14)</f>
        <v/>
      </c>
      <c r="E14" s="31">
        <f>Recommended_CEM_Base!K4</f>
        <v>1254.1144077010592</v>
      </c>
      <c r="F14" s="31">
        <f>IF(Recommended_CEM_Base!M4="","",Recommended_CEM_Base!M4)</f>
        <v>12.69</v>
      </c>
      <c r="G14" s="32">
        <f>Recommended_CEM_Base!C4</f>
        <v>7.0000000000000007E-2</v>
      </c>
      <c r="H14" s="32">
        <f>Recommended_CEM_Base!E4</f>
        <v>8.0586403511111196E-2</v>
      </c>
      <c r="I14" s="33">
        <f>Recommended_CEM_Base!B4</f>
        <v>30</v>
      </c>
      <c r="J14" s="33">
        <v>2035</v>
      </c>
      <c r="K14" s="34"/>
      <c r="L14" s="34">
        <v>2025</v>
      </c>
      <c r="M14" s="35">
        <v>1</v>
      </c>
      <c r="N14" s="34" t="s">
        <v>345</v>
      </c>
      <c r="O14" s="34" t="s">
        <v>344</v>
      </c>
      <c r="P14" s="34" t="s">
        <v>346</v>
      </c>
      <c r="Q14" s="34" t="s">
        <v>347</v>
      </c>
      <c r="R14" s="37"/>
      <c r="S14" s="35">
        <f>IF(Recommended_CEM_Base!J4="","",Recommended_CEM_Base!J4/1000)</f>
        <v>6.226</v>
      </c>
      <c r="T14" s="30" t="s">
        <v>127</v>
      </c>
      <c r="U14" s="30" t="s">
        <v>348</v>
      </c>
      <c r="V14" s="26"/>
      <c r="W14" s="30" t="str">
        <f t="shared" si="0"/>
        <v>NO</v>
      </c>
      <c r="X14" s="30" t="str">
        <f>IF(F14="","FOM needed",IF(OR(R14="",S14=""),"Fuel price / heat rate needed","Ready"))</f>
        <v>Fuel price / heat rate needed</v>
      </c>
    </row>
    <row r="15" spans="1:24" ht="42.45">
      <c r="A15" s="26" t="s">
        <v>349</v>
      </c>
      <c r="B15" s="26">
        <v>1</v>
      </c>
      <c r="C15" s="31">
        <f>IF(F15="","",Recommended_CEM_Base!N5*1000)</f>
        <v>96575.793218386199</v>
      </c>
      <c r="D15" s="31" t="str">
        <f>IF(OR(R15="",S15=""),"",Recommended_CEM_Base!I5+R15*S15)</f>
        <v/>
      </c>
      <c r="E15" s="31">
        <f>Recommended_CEM_Base!K5</f>
        <v>1109.3160796791281</v>
      </c>
      <c r="F15" s="31">
        <f>IF(Recommended_CEM_Base!M5="","",Recommended_CEM_Base!M5)</f>
        <v>7.18</v>
      </c>
      <c r="G15" s="32">
        <f>Recommended_CEM_Base!C5</f>
        <v>7.0000000000000007E-2</v>
      </c>
      <c r="H15" s="32">
        <f>Recommended_CEM_Base!E5</f>
        <v>8.0586403511111196E-2</v>
      </c>
      <c r="I15" s="33">
        <f>Recommended_CEM_Base!B5</f>
        <v>30</v>
      </c>
      <c r="J15" s="33">
        <v>2035</v>
      </c>
      <c r="K15" s="34"/>
      <c r="L15" s="34">
        <v>2025</v>
      </c>
      <c r="M15" s="35">
        <v>1</v>
      </c>
      <c r="N15" s="34" t="s">
        <v>345</v>
      </c>
      <c r="O15" s="34" t="s">
        <v>349</v>
      </c>
      <c r="P15" s="34" t="s">
        <v>346</v>
      </c>
      <c r="Q15" s="34" t="s">
        <v>347</v>
      </c>
      <c r="R15" s="37"/>
      <c r="S15" s="35">
        <f>IF(Recommended_CEM_Base!J5="","",Recommended_CEM_Base!J5/1000)</f>
        <v>9.1419999999999995</v>
      </c>
      <c r="T15" s="30" t="s">
        <v>127</v>
      </c>
      <c r="U15" s="30" t="s">
        <v>348</v>
      </c>
      <c r="V15" s="26"/>
      <c r="W15" s="30" t="str">
        <f t="shared" si="0"/>
        <v>NO</v>
      </c>
      <c r="X15" s="30" t="str">
        <f>IF(F15="","FOM needed",IF(OR(R15="",S15=""),"Fuel price / heat rate needed","Ready"))</f>
        <v>Fuel price / heat rate needed</v>
      </c>
    </row>
    <row r="16" spans="1:24" ht="42.45">
      <c r="A16" s="26" t="s">
        <v>31</v>
      </c>
      <c r="B16" s="26">
        <v>1</v>
      </c>
      <c r="C16" s="31" t="str">
        <f>IF(F16="","",Recommended_CEM_Base!N6*1000)</f>
        <v/>
      </c>
      <c r="D16" s="31" t="str">
        <f>IF(OR(R16="",S16=""),"",Recommended_CEM_Base!I6+R16*S16)</f>
        <v/>
      </c>
      <c r="E16" s="31">
        <f>Recommended_CEM_Base!K6</f>
        <v>2036.829814175165</v>
      </c>
      <c r="F16" s="31" t="str">
        <f>IF(Recommended_CEM_Base!M6="","",Recommended_CEM_Base!M6)</f>
        <v/>
      </c>
      <c r="G16" s="32">
        <f>Recommended_CEM_Base!C6</f>
        <v>7.0000000000000007E-2</v>
      </c>
      <c r="H16" s="32">
        <f>Recommended_CEM_Base!E6</f>
        <v>8.0586403511111196E-2</v>
      </c>
      <c r="I16" s="33">
        <f>Recommended_CEM_Base!B6</f>
        <v>30</v>
      </c>
      <c r="J16" s="33">
        <v>2035</v>
      </c>
      <c r="K16" s="34"/>
      <c r="L16" s="34">
        <v>2025</v>
      </c>
      <c r="M16" s="35">
        <v>1</v>
      </c>
      <c r="N16" s="34" t="s">
        <v>345</v>
      </c>
      <c r="O16" s="34" t="s">
        <v>31</v>
      </c>
      <c r="P16" s="34" t="s">
        <v>346</v>
      </c>
      <c r="Q16" s="34" t="s">
        <v>347</v>
      </c>
      <c r="R16" s="37"/>
      <c r="S16" s="36" t="str">
        <f>IF(Recommended_CEM_Base!J6="","",Recommended_CEM_Base!J6/1000)</f>
        <v/>
      </c>
      <c r="T16" s="30" t="s">
        <v>127</v>
      </c>
      <c r="U16" s="30" t="s">
        <v>348</v>
      </c>
      <c r="V16" s="26"/>
      <c r="W16" s="30" t="str">
        <f t="shared" si="0"/>
        <v>NO</v>
      </c>
      <c r="X16" s="30" t="str">
        <f>IF(F16="","FOM needed",IF(OR(R16="",S16=""),"Fuel price / heat rate needed","Ready"))</f>
        <v>FOM needed</v>
      </c>
    </row>
    <row r="17" spans="1:24" ht="42.45">
      <c r="A17" s="26" t="s">
        <v>350</v>
      </c>
      <c r="B17" s="26">
        <v>1</v>
      </c>
      <c r="C17" s="31">
        <f>IF(F17="","",Recommended_CEM_Base!N7*1000)</f>
        <v>706973.15257341601</v>
      </c>
      <c r="D17" s="31" t="str">
        <f>IF(OR(R17="",S17=""),"",Recommended_CEM_Base!I7+R17*S17)</f>
        <v/>
      </c>
      <c r="E17" s="31">
        <f>Recommended_CEM_Base!K7</f>
        <v>8133.6438590541438</v>
      </c>
      <c r="F17" s="31">
        <f>IF(Recommended_CEM_Base!M7="","",Recommended_CEM_Base!M7)</f>
        <v>127.62</v>
      </c>
      <c r="G17" s="32">
        <f>Recommended_CEM_Base!C7</f>
        <v>7.0000000000000007E-2</v>
      </c>
      <c r="H17" s="32">
        <f>Recommended_CEM_Base!E7</f>
        <v>7.122922550001945E-2</v>
      </c>
      <c r="I17" s="33">
        <f>Recommended_CEM_Base!B7</f>
        <v>60</v>
      </c>
      <c r="J17" s="33">
        <v>2035</v>
      </c>
      <c r="K17" s="34"/>
      <c r="L17" s="34">
        <v>2025</v>
      </c>
      <c r="M17" s="35">
        <v>1</v>
      </c>
      <c r="N17" s="34" t="s">
        <v>345</v>
      </c>
      <c r="O17" s="34" t="s">
        <v>350</v>
      </c>
      <c r="P17" s="34" t="s">
        <v>346</v>
      </c>
      <c r="Q17" s="34" t="s">
        <v>347</v>
      </c>
      <c r="R17" s="37"/>
      <c r="S17" s="35">
        <f>IF(Recommended_CEM_Base!J7="","",Recommended_CEM_Base!J7/1000)</f>
        <v>10.445</v>
      </c>
      <c r="T17" s="30" t="s">
        <v>127</v>
      </c>
      <c r="U17" s="30" t="s">
        <v>351</v>
      </c>
      <c r="V17" s="26"/>
      <c r="W17" s="30" t="str">
        <f t="shared" si="0"/>
        <v>NO</v>
      </c>
      <c r="X17" s="30" t="str">
        <f>IF(F17="","FOM needed",IF(OR(R17="",S17=""),"Fuel price / heat rate needed","Ready"))</f>
        <v>Fuel price / heat rate needed</v>
      </c>
    </row>
    <row r="18" spans="1:24" ht="42.45">
      <c r="A18" s="26" t="s">
        <v>352</v>
      </c>
      <c r="B18" s="26">
        <v>0</v>
      </c>
      <c r="C18" s="31">
        <f>IF(F18="","",Recommended_CEM_Base!N8*1000)</f>
        <v>149411.60987658089</v>
      </c>
      <c r="D18" s="31">
        <f>Recommended_CEM_Base!I8</f>
        <v>0</v>
      </c>
      <c r="E18" s="31">
        <f>Recommended_CEM_Base!K8</f>
        <v>1468.2637787643903</v>
      </c>
      <c r="F18" s="31">
        <f>IF(Recommended_CEM_Base!M8="","",Recommended_CEM_Base!M8)</f>
        <v>31.089512540324847</v>
      </c>
      <c r="G18" s="32">
        <f>Recommended_CEM_Base!C8</f>
        <v>7.0000000000000007E-2</v>
      </c>
      <c r="H18" s="32">
        <f>Recommended_CEM_Base!E8</f>
        <v>8.0586403511111196E-2</v>
      </c>
      <c r="I18" s="33">
        <f>Recommended_CEM_Base!B8</f>
        <v>30</v>
      </c>
      <c r="J18" s="33">
        <v>2035</v>
      </c>
      <c r="K18" s="34"/>
      <c r="L18" s="34">
        <v>2025</v>
      </c>
      <c r="M18" s="35">
        <v>1</v>
      </c>
      <c r="N18" s="34" t="s">
        <v>345</v>
      </c>
      <c r="O18" s="34" t="s">
        <v>352</v>
      </c>
      <c r="P18" s="34" t="s">
        <v>346</v>
      </c>
      <c r="Q18" s="34" t="s">
        <v>347</v>
      </c>
      <c r="R18" s="38">
        <v>0</v>
      </c>
      <c r="S18" s="35">
        <v>0</v>
      </c>
      <c r="T18" s="30" t="s">
        <v>127</v>
      </c>
      <c r="U18" s="30" t="s">
        <v>353</v>
      </c>
      <c r="V18" s="26"/>
      <c r="W18" s="30" t="str">
        <f t="shared" si="0"/>
        <v>YES</v>
      </c>
      <c r="X18" s="30" t="str">
        <f>IF(F18="","FOM needed","Ready")</f>
        <v>Ready</v>
      </c>
    </row>
    <row r="19" spans="1:24" ht="42.45">
      <c r="A19" s="26" t="s">
        <v>354</v>
      </c>
      <c r="B19" s="26">
        <v>0</v>
      </c>
      <c r="C19" s="31">
        <f>IF(F19="","",Recommended_CEM_Base!N9*1000)</f>
        <v>108393.10915855631</v>
      </c>
      <c r="D19" s="31">
        <f>Recommended_CEM_Base!I9</f>
        <v>0</v>
      </c>
      <c r="E19" s="31">
        <f>Recommended_CEM_Base!K9</f>
        <v>1052.2011836260331</v>
      </c>
      <c r="F19" s="31">
        <f>IF(Recommended_CEM_Base!M9="","",Recommended_CEM_Base!M9)</f>
        <v>23.6</v>
      </c>
      <c r="G19" s="32">
        <f>Recommended_CEM_Base!C9</f>
        <v>7.0000000000000007E-2</v>
      </c>
      <c r="H19" s="32">
        <f>Recommended_CEM_Base!E9</f>
        <v>8.0586403511111196E-2</v>
      </c>
      <c r="I19" s="33">
        <f>Recommended_CEM_Base!B9</f>
        <v>30</v>
      </c>
      <c r="J19" s="33">
        <v>2035</v>
      </c>
      <c r="K19" s="34"/>
      <c r="L19" s="34">
        <v>2025</v>
      </c>
      <c r="M19" s="35">
        <v>1</v>
      </c>
      <c r="N19" s="34" t="s">
        <v>345</v>
      </c>
      <c r="O19" s="34" t="s">
        <v>354</v>
      </c>
      <c r="P19" s="34" t="s">
        <v>346</v>
      </c>
      <c r="Q19" s="34" t="s">
        <v>347</v>
      </c>
      <c r="R19" s="38">
        <v>0</v>
      </c>
      <c r="S19" s="35">
        <v>0</v>
      </c>
      <c r="T19" s="30" t="s">
        <v>127</v>
      </c>
      <c r="U19" s="30" t="s">
        <v>355</v>
      </c>
      <c r="V19" s="26"/>
      <c r="W19" s="30" t="str">
        <f t="shared" si="0"/>
        <v>YES</v>
      </c>
      <c r="X19" s="30" t="str">
        <f>IF(F19="","FOM needed","Ready")</f>
        <v>Ready</v>
      </c>
    </row>
    <row r="20" spans="1:24" ht="42.45">
      <c r="A20" s="26" t="s">
        <v>356</v>
      </c>
      <c r="B20" s="26">
        <v>0</v>
      </c>
      <c r="C20" s="31">
        <f>IF(F20="","",Recommended_CEM_Base!N10*1000)</f>
        <v>91548.361281665944</v>
      </c>
      <c r="D20" s="31">
        <f>Recommended_CEM_Base!I10</f>
        <v>0</v>
      </c>
      <c r="E20" s="31">
        <f>Recommended_CEM_Base!K10</f>
        <v>645.15699485327104</v>
      </c>
      <c r="F20" s="31">
        <f>IF(Recommended_CEM_Base!M10="","",Recommended_CEM_Base!M10)</f>
        <v>20.713591158521847</v>
      </c>
      <c r="G20" s="32">
        <f>Recommended_CEM_Base!C10</f>
        <v>7.0000000000000007E-2</v>
      </c>
      <c r="H20" s="32">
        <f>Recommended_CEM_Base!E10</f>
        <v>0.10979462470100652</v>
      </c>
      <c r="I20" s="33">
        <f>Recommended_CEM_Base!B10</f>
        <v>15</v>
      </c>
      <c r="J20" s="33">
        <v>2035</v>
      </c>
      <c r="K20" s="34"/>
      <c r="L20" s="34">
        <v>2025</v>
      </c>
      <c r="M20" s="35">
        <v>1</v>
      </c>
      <c r="N20" s="34" t="s">
        <v>345</v>
      </c>
      <c r="O20" s="34" t="s">
        <v>357</v>
      </c>
      <c r="P20" s="34" t="s">
        <v>346</v>
      </c>
      <c r="Q20" s="34" t="s">
        <v>347</v>
      </c>
      <c r="R20" s="38">
        <v>0</v>
      </c>
      <c r="S20" s="35">
        <v>0</v>
      </c>
      <c r="T20" s="30" t="s">
        <v>127</v>
      </c>
      <c r="U20" s="30" t="s">
        <v>358</v>
      </c>
      <c r="V20" s="26">
        <v>2</v>
      </c>
      <c r="W20" s="30" t="str">
        <f t="shared" si="0"/>
        <v>YES</v>
      </c>
      <c r="X20" s="30" t="str">
        <f>IF(F20="","FOM needed","Ready")</f>
        <v>Ready</v>
      </c>
    </row>
    <row r="21" spans="1:24" ht="42.45">
      <c r="A21" s="26" t="s">
        <v>356</v>
      </c>
      <c r="B21" s="26">
        <v>1</v>
      </c>
      <c r="C21" s="31">
        <f>IF(F21="","",Recommended_CEM_Base!N11*1000)</f>
        <v>142527.94759965921</v>
      </c>
      <c r="D21" s="31">
        <f>Recommended_CEM_Base!I11</f>
        <v>0</v>
      </c>
      <c r="E21" s="31">
        <f>Recommended_CEM_Base!K11</f>
        <v>997.575930300393</v>
      </c>
      <c r="F21" s="31">
        <f>IF(Recommended_CEM_Base!M11="","",Recommended_CEM_Base!M11)</f>
        <v>32.999472721570122</v>
      </c>
      <c r="G21" s="32">
        <f>Recommended_CEM_Base!C11</f>
        <v>7.0000000000000007E-2</v>
      </c>
      <c r="H21" s="32">
        <f>Recommended_CEM_Base!E11</f>
        <v>0.10979462470100652</v>
      </c>
      <c r="I21" s="33">
        <f>Recommended_CEM_Base!B11</f>
        <v>15</v>
      </c>
      <c r="J21" s="33">
        <v>2035</v>
      </c>
      <c r="K21" s="34"/>
      <c r="L21" s="34">
        <v>2025</v>
      </c>
      <c r="M21" s="35">
        <v>1</v>
      </c>
      <c r="N21" s="34" t="s">
        <v>345</v>
      </c>
      <c r="O21" s="34" t="s">
        <v>359</v>
      </c>
      <c r="P21" s="34" t="s">
        <v>346</v>
      </c>
      <c r="Q21" s="34" t="s">
        <v>347</v>
      </c>
      <c r="R21" s="38">
        <v>0</v>
      </c>
      <c r="S21" s="35">
        <v>0</v>
      </c>
      <c r="T21" s="30" t="s">
        <v>127</v>
      </c>
      <c r="U21" s="30" t="s">
        <v>360</v>
      </c>
      <c r="V21" s="26">
        <v>4</v>
      </c>
      <c r="W21" s="30" t="str">
        <f t="shared" si="0"/>
        <v>YES</v>
      </c>
      <c r="X21" s="30" t="str">
        <f>IF(F21="","FOM needed","Ready")</f>
        <v>Ready</v>
      </c>
    </row>
    <row r="22" spans="1:24" ht="42.45">
      <c r="A22" s="26" t="s">
        <v>356</v>
      </c>
      <c r="B22" s="26">
        <v>0</v>
      </c>
      <c r="C22" s="31">
        <f>IF(F22="","",Recommended_CEM_Base!N12*1000)</f>
        <v>218397.76007185332</v>
      </c>
      <c r="D22" s="31">
        <f>Recommended_CEM_Base!I12</f>
        <v>0</v>
      </c>
      <c r="E22" s="31">
        <f>Recommended_CEM_Base!K12</f>
        <v>1576.6929051276948</v>
      </c>
      <c r="F22" s="31">
        <f>IF(Recommended_CEM_Base!M12="","",Recommended_CEM_Base!M12)</f>
        <v>45.2853542846184</v>
      </c>
      <c r="G22" s="32">
        <f>Recommended_CEM_Base!C12</f>
        <v>7.0000000000000007E-2</v>
      </c>
      <c r="H22" s="32">
        <f>Recommended_CEM_Base!E12</f>
        <v>0.10979462470100652</v>
      </c>
      <c r="I22" s="33">
        <f>Recommended_CEM_Base!B12</f>
        <v>15</v>
      </c>
      <c r="J22" s="33">
        <v>2035</v>
      </c>
      <c r="K22" s="34"/>
      <c r="L22" s="34">
        <v>2025</v>
      </c>
      <c r="M22" s="35">
        <v>1</v>
      </c>
      <c r="N22" s="34" t="s">
        <v>345</v>
      </c>
      <c r="O22" s="34" t="s">
        <v>361</v>
      </c>
      <c r="P22" s="34" t="s">
        <v>346</v>
      </c>
      <c r="Q22" s="34" t="s">
        <v>347</v>
      </c>
      <c r="R22" s="38">
        <v>0</v>
      </c>
      <c r="S22" s="35">
        <v>0</v>
      </c>
      <c r="T22" s="30" t="s">
        <v>127</v>
      </c>
      <c r="U22" s="30" t="s">
        <v>358</v>
      </c>
      <c r="V22" s="26">
        <v>6</v>
      </c>
      <c r="W22" s="30" t="str">
        <f t="shared" si="0"/>
        <v>YES</v>
      </c>
      <c r="X22" s="30" t="str">
        <f>IF(F22="","FOM needed","Ready")</f>
        <v>Ready</v>
      </c>
    </row>
    <row r="23" spans="1:24" ht="27.45" customHeight="1">
      <c r="A23" t="s">
        <v>362</v>
      </c>
      <c r="B23">
        <v>1</v>
      </c>
      <c r="C23" s="22">
        <f>Recommended_CEM_Base!H13*1000</f>
        <v>110514.34059460457</v>
      </c>
      <c r="D23" s="22" t="str">
        <f>IF(OR(R23="",S23=""),"",Recommended_CEM_Base!I13+R23*S23)</f>
        <v/>
      </c>
      <c r="E23" s="22">
        <f>Recommended_CEM_Base!D13</f>
        <v>800</v>
      </c>
      <c r="F23" s="22">
        <f>Recommended_CEM_Base!G13</f>
        <v>35</v>
      </c>
      <c r="G23" s="2">
        <f>Recommended_CEM_Base!C13</f>
        <v>7.0000000000000007E-2</v>
      </c>
      <c r="H23" s="2">
        <f>Recommended_CEM_Base!E13</f>
        <v>9.4392925743255696E-2</v>
      </c>
      <c r="I23" s="23">
        <f>Recommended_CEM_Base!B13</f>
        <v>20</v>
      </c>
      <c r="J23" s="23">
        <v>2030</v>
      </c>
      <c r="L23">
        <v>2025</v>
      </c>
      <c r="M23" s="24">
        <v>1</v>
      </c>
      <c r="N23" t="s">
        <v>345</v>
      </c>
      <c r="O23" t="s">
        <v>362</v>
      </c>
      <c r="P23" t="s">
        <v>363</v>
      </c>
      <c r="Q23" t="s">
        <v>347</v>
      </c>
      <c r="R23" s="63"/>
      <c r="S23" s="24">
        <f>Diesel_Review!F20</f>
        <v>9.5</v>
      </c>
      <c r="T23" s="10" t="s">
        <v>364</v>
      </c>
      <c r="U23" s="10" t="s">
        <v>365</v>
      </c>
      <c r="W23" t="str">
        <f t="shared" si="0"/>
        <v>NO</v>
      </c>
      <c r="X23" t="str">
        <f>IF(OR(R23="",S23=""),"Fuel price needed","Ready")</f>
        <v>Fuel price needed</v>
      </c>
    </row>
    <row r="24" spans="1:24" ht="27.45" customHeight="1">
      <c r="A24" s="75" t="s">
        <v>362</v>
      </c>
      <c r="B24" s="75">
        <v>1</v>
      </c>
      <c r="C24" s="83">
        <f>Recommended_CEM_Base!N13*1000</f>
        <v>110514.34059460457</v>
      </c>
      <c r="D24" s="83" t="str">
        <f>IF(OR(R24="",S24=""),"",Recommended_CEM_Base!I13+R24*S24)</f>
        <v/>
      </c>
      <c r="E24" s="83">
        <f>Recommended_CEM_Base!K13</f>
        <v>800</v>
      </c>
      <c r="F24" s="83">
        <f>Recommended_CEM_Base!M13</f>
        <v>35</v>
      </c>
      <c r="G24" s="84">
        <f>Recommended_CEM_Base!C13</f>
        <v>7.0000000000000007E-2</v>
      </c>
      <c r="H24" s="84">
        <f>Recommended_CEM_Base!E13</f>
        <v>9.4392925743255696E-2</v>
      </c>
      <c r="I24" s="85">
        <f>Recommended_CEM_Base!B13</f>
        <v>20</v>
      </c>
      <c r="J24" s="85">
        <v>2035</v>
      </c>
      <c r="K24" s="75"/>
      <c r="L24" s="75">
        <v>2025</v>
      </c>
      <c r="M24" s="86">
        <v>1</v>
      </c>
      <c r="N24" s="75" t="s">
        <v>345</v>
      </c>
      <c r="O24" s="75" t="s">
        <v>362</v>
      </c>
      <c r="P24" s="75" t="s">
        <v>363</v>
      </c>
      <c r="Q24" s="75" t="s">
        <v>347</v>
      </c>
      <c r="R24" s="87"/>
      <c r="S24" s="86">
        <f>Diesel_Review!F20</f>
        <v>9.5</v>
      </c>
      <c r="T24" s="88" t="s">
        <v>364</v>
      </c>
      <c r="U24" s="88" t="s">
        <v>365</v>
      </c>
      <c r="V24" s="75"/>
      <c r="W24" s="75" t="str">
        <f t="shared" si="0"/>
        <v>NO</v>
      </c>
      <c r="X24" s="75" t="str">
        <f>IF(OR(R24="",S24=""),"Fuel price needed","Ready")</f>
        <v>Fuel price needed</v>
      </c>
    </row>
    <row r="25" spans="1:24" ht="27.45" customHeight="1">
      <c r="A25" s="10" t="s">
        <v>366</v>
      </c>
      <c r="B25" s="10">
        <v>1</v>
      </c>
      <c r="C25" s="64">
        <f>Recommended_CEM_Base!H15*1000</f>
        <v>154991.52841340244</v>
      </c>
      <c r="D25" s="64" t="str">
        <f>IF(OR(R25="",S25=""),"",Recommended_CEM_Base!I15+R25*S25)</f>
        <v/>
      </c>
      <c r="E25" s="64">
        <f>Recommended_CEM_Base!D15</f>
        <v>1373.8712923956705</v>
      </c>
      <c r="F25" s="64">
        <f>Recommended_CEM_Base!G15</f>
        <v>44.276182072073119</v>
      </c>
      <c r="G25" s="65">
        <f>Recommended_CEM_Base!C15</f>
        <v>7.0000000000000007E-2</v>
      </c>
      <c r="H25" s="65">
        <f>Recommended_CEM_Base!E15</f>
        <v>8.0586403511111196E-2</v>
      </c>
      <c r="I25" s="66">
        <f>Recommended_CEM_Base!B15</f>
        <v>30</v>
      </c>
      <c r="J25" s="66">
        <v>2030</v>
      </c>
      <c r="K25" s="10"/>
      <c r="L25" s="10">
        <v>2025</v>
      </c>
      <c r="M25" s="10">
        <v>1</v>
      </c>
      <c r="N25" s="10" t="s">
        <v>345</v>
      </c>
      <c r="O25" s="10" t="s">
        <v>366</v>
      </c>
      <c r="P25" s="10" t="s">
        <v>367</v>
      </c>
      <c r="Q25" s="10" t="s">
        <v>347</v>
      </c>
      <c r="R25" s="67"/>
      <c r="S25" s="54">
        <f>Diesel_Review!F21</f>
        <v>9.5</v>
      </c>
      <c r="T25" s="10" t="s">
        <v>107</v>
      </c>
      <c r="U25" s="10" t="s">
        <v>368</v>
      </c>
      <c r="V25" s="10"/>
      <c r="W25" s="10" t="str">
        <f t="shared" si="0"/>
        <v>NO</v>
      </c>
      <c r="X25" s="10" t="str">
        <f>IF(OR(R25="",S25=""),"Fuel price needed","Ready")</f>
        <v>Fuel price needed</v>
      </c>
    </row>
    <row r="26" spans="1:24" ht="27.45" customHeight="1">
      <c r="A26" s="10" t="s">
        <v>366</v>
      </c>
      <c r="B26" s="10">
        <v>1</v>
      </c>
      <c r="C26" s="64">
        <f>Recommended_CEM_Base!N15*1000</f>
        <v>154991.52841340244</v>
      </c>
      <c r="D26" s="64" t="str">
        <f>IF(OR(R26="",S26=""),"",Recommended_CEM_Base!I15+R26*S26)</f>
        <v/>
      </c>
      <c r="E26" s="64">
        <f>Recommended_CEM_Base!K15</f>
        <v>1373.8712923956705</v>
      </c>
      <c r="F26" s="64">
        <f>Recommended_CEM_Base!M15</f>
        <v>44.276182072073119</v>
      </c>
      <c r="G26" s="65">
        <f>Recommended_CEM_Base!C15</f>
        <v>7.0000000000000007E-2</v>
      </c>
      <c r="H26" s="65">
        <f>Recommended_CEM_Base!E15</f>
        <v>8.0586403511111196E-2</v>
      </c>
      <c r="I26" s="66">
        <f>Recommended_CEM_Base!B15</f>
        <v>30</v>
      </c>
      <c r="J26" s="66">
        <v>2035</v>
      </c>
      <c r="K26" s="10"/>
      <c r="L26" s="10">
        <v>2025</v>
      </c>
      <c r="M26" s="10">
        <v>1</v>
      </c>
      <c r="N26" s="10" t="s">
        <v>345</v>
      </c>
      <c r="O26" s="10" t="s">
        <v>366</v>
      </c>
      <c r="P26" s="10" t="s">
        <v>367</v>
      </c>
      <c r="Q26" s="10" t="s">
        <v>347</v>
      </c>
      <c r="R26" s="67"/>
      <c r="S26" s="54">
        <f>Diesel_Review!F21</f>
        <v>9.5</v>
      </c>
      <c r="T26" s="10" t="s">
        <v>107</v>
      </c>
      <c r="U26" s="10" t="s">
        <v>368</v>
      </c>
      <c r="V26" s="10"/>
      <c r="W26" s="10" t="str">
        <f t="shared" si="0"/>
        <v>NO</v>
      </c>
      <c r="X26" s="10" t="str">
        <f>IF(OR(R26="",S26=""),"Fuel price needed","Ready")</f>
        <v>Fuel price needed</v>
      </c>
    </row>
    <row r="27" spans="1:24" ht="28.3">
      <c r="A27" s="10" t="s">
        <v>369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spans="1:24" ht="183.9">
      <c r="A28" s="10" t="s">
        <v>370</v>
      </c>
      <c r="B28" s="10" t="s">
        <v>371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27.3">
      <c r="A29" s="10" t="s">
        <v>372</v>
      </c>
      <c r="B29" s="10" t="s">
        <v>373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297">
      <c r="A30" s="10" t="s">
        <v>374</v>
      </c>
      <c r="B30" s="10" t="s">
        <v>375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212.15">
      <c r="A31" s="10" t="s">
        <v>376</v>
      </c>
      <c r="B31" s="10" t="s">
        <v>377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3">
    <mergeCell ref="A1:X1"/>
    <mergeCell ref="A2:X2"/>
    <mergeCell ref="A24:X2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0"/>
  <sheetViews>
    <sheetView workbookViewId="0">
      <selection sqref="A1:AB1"/>
    </sheetView>
  </sheetViews>
  <sheetFormatPr defaultRowHeight="14.15"/>
  <cols>
    <col min="1" max="1" width="24" customWidth="1"/>
    <col min="2" max="2" width="15" customWidth="1"/>
    <col min="3" max="3" width="13" customWidth="1"/>
    <col min="4" max="4" width="12" customWidth="1"/>
    <col min="5" max="5" width="17" customWidth="1"/>
    <col min="6" max="6" width="16" customWidth="1"/>
    <col min="7" max="8" width="12" customWidth="1"/>
    <col min="9" max="9" width="10" customWidth="1"/>
    <col min="10" max="11" width="12" customWidth="1"/>
    <col min="12" max="15" width="10" customWidth="1"/>
    <col min="16" max="16" width="14" customWidth="1"/>
    <col min="17" max="20" width="13" customWidth="1"/>
    <col min="21" max="21" width="18" customWidth="1"/>
    <col min="22" max="22" width="30" customWidth="1"/>
    <col min="23" max="23" width="46" customWidth="1"/>
    <col min="24" max="24" width="13" customWidth="1"/>
    <col min="25" max="25" width="16" customWidth="1"/>
    <col min="26" max="26" width="18" customWidth="1"/>
    <col min="27" max="27" width="54" customWidth="1"/>
    <col min="28" max="28" width="14" customWidth="1"/>
  </cols>
  <sheetData>
    <row r="1" spans="1:28" ht="14.9" customHeight="1">
      <c r="A1" s="82" t="s">
        <v>378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</row>
    <row r="2" spans="1:28" ht="20.6" customHeight="1">
      <c r="A2" s="73" t="s">
        <v>379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</row>
    <row r="4" spans="1:28" ht="29.7" customHeight="1">
      <c r="A4" s="20" t="s">
        <v>380</v>
      </c>
      <c r="B4" s="20" t="s">
        <v>381</v>
      </c>
      <c r="C4" s="20" t="s">
        <v>382</v>
      </c>
      <c r="D4" s="20" t="s">
        <v>383</v>
      </c>
      <c r="E4" s="20" t="s">
        <v>384</v>
      </c>
      <c r="F4" s="20" t="s">
        <v>385</v>
      </c>
      <c r="G4" s="20" t="s">
        <v>320</v>
      </c>
      <c r="H4" s="20" t="s">
        <v>386</v>
      </c>
      <c r="I4" s="20" t="s">
        <v>387</v>
      </c>
      <c r="J4" s="20" t="s">
        <v>388</v>
      </c>
      <c r="K4" s="20" t="s">
        <v>389</v>
      </c>
      <c r="L4" s="20" t="s">
        <v>390</v>
      </c>
      <c r="M4" s="20" t="s">
        <v>391</v>
      </c>
      <c r="N4" s="20" t="s">
        <v>392</v>
      </c>
      <c r="O4" s="20" t="s">
        <v>393</v>
      </c>
      <c r="P4" s="20" t="s">
        <v>394</v>
      </c>
      <c r="Q4" s="20" t="s">
        <v>395</v>
      </c>
      <c r="R4" s="20" t="s">
        <v>396</v>
      </c>
      <c r="S4" s="20" t="s">
        <v>397</v>
      </c>
      <c r="T4" s="20" t="s">
        <v>398</v>
      </c>
      <c r="U4" s="20" t="s">
        <v>399</v>
      </c>
      <c r="V4" s="20" t="s">
        <v>400</v>
      </c>
      <c r="W4" s="20" t="s">
        <v>401</v>
      </c>
      <c r="X4" s="20" t="s">
        <v>402</v>
      </c>
      <c r="Y4" s="20" t="s">
        <v>403</v>
      </c>
      <c r="Z4" s="20" t="s">
        <v>342</v>
      </c>
      <c r="AA4" s="20" t="s">
        <v>404</v>
      </c>
      <c r="AB4" s="20" t="s">
        <v>405</v>
      </c>
    </row>
    <row r="5" spans="1:28" ht="28.3">
      <c r="A5" s="26" t="s">
        <v>406</v>
      </c>
      <c r="B5" s="39"/>
      <c r="C5" s="39"/>
      <c r="D5" s="26">
        <v>0</v>
      </c>
      <c r="E5" s="31">
        <f>HOPE_CostProfiles!C5</f>
        <v>118649.83306084589</v>
      </c>
      <c r="F5" s="31" t="str">
        <f>HOPE_CostProfiles!D5</f>
        <v/>
      </c>
      <c r="G5" s="26" t="s">
        <v>344</v>
      </c>
      <c r="H5" s="26">
        <v>1</v>
      </c>
      <c r="I5" s="26">
        <v>0</v>
      </c>
      <c r="J5" s="26">
        <v>0</v>
      </c>
      <c r="K5" s="29"/>
      <c r="L5" s="29"/>
      <c r="M5" s="29">
        <v>1</v>
      </c>
      <c r="N5" s="29"/>
      <c r="O5" s="29">
        <v>0</v>
      </c>
      <c r="P5" s="29"/>
      <c r="Q5" s="29"/>
      <c r="R5" s="29"/>
      <c r="S5" s="29"/>
      <c r="T5" s="29"/>
      <c r="U5" s="28">
        <f>HOPE_CostProfiles!S5</f>
        <v>6.226</v>
      </c>
      <c r="V5" s="26" t="s">
        <v>407</v>
      </c>
      <c r="W5" s="30" t="s">
        <v>408</v>
      </c>
      <c r="X5" s="30">
        <v>2030</v>
      </c>
      <c r="Y5" s="30" t="s">
        <v>409</v>
      </c>
      <c r="Z5" s="30" t="str">
        <f t="shared" ref="Z5:Z20" si="0">IF(AND(B5&lt;&gt;"",C5&lt;&gt;"",E5&lt;&gt;"",F5&lt;&gt;"",L5&lt;&gt;"",M5&lt;&gt;"",N5&lt;&gt;""),"YES","NO")</f>
        <v>NO</v>
      </c>
      <c r="AA5" s="30" t="s">
        <v>410</v>
      </c>
      <c r="AB5" s="26">
        <v>5</v>
      </c>
    </row>
    <row r="6" spans="1:28" ht="28.3">
      <c r="A6" s="26" t="s">
        <v>411</v>
      </c>
      <c r="B6" s="39"/>
      <c r="C6" s="39"/>
      <c r="D6" s="26">
        <v>0</v>
      </c>
      <c r="E6" s="31">
        <f>HOPE_CostProfiles!C6</f>
        <v>103382.27681035872</v>
      </c>
      <c r="F6" s="31" t="str">
        <f>HOPE_CostProfiles!D6</f>
        <v/>
      </c>
      <c r="G6" s="26" t="s">
        <v>349</v>
      </c>
      <c r="H6" s="26">
        <v>1</v>
      </c>
      <c r="I6" s="26">
        <v>0</v>
      </c>
      <c r="J6" s="26">
        <v>0</v>
      </c>
      <c r="K6" s="29"/>
      <c r="L6" s="29"/>
      <c r="M6" s="29">
        <v>1</v>
      </c>
      <c r="N6" s="29"/>
      <c r="O6" s="29">
        <v>0</v>
      </c>
      <c r="P6" s="29"/>
      <c r="Q6" s="29"/>
      <c r="R6" s="29"/>
      <c r="S6" s="29"/>
      <c r="T6" s="29"/>
      <c r="U6" s="28">
        <f>HOPE_CostProfiles!S6</f>
        <v>9.1419999999999995</v>
      </c>
      <c r="V6" s="26" t="s">
        <v>407</v>
      </c>
      <c r="W6" s="30" t="s">
        <v>408</v>
      </c>
      <c r="X6" s="30">
        <v>2030</v>
      </c>
      <c r="Y6" s="30" t="s">
        <v>409</v>
      </c>
      <c r="Z6" s="30" t="str">
        <f t="shared" si="0"/>
        <v>NO</v>
      </c>
      <c r="AA6" s="30" t="s">
        <v>410</v>
      </c>
      <c r="AB6" s="26">
        <v>6</v>
      </c>
    </row>
    <row r="7" spans="1:28" ht="28.3">
      <c r="A7" s="26" t="s">
        <v>412</v>
      </c>
      <c r="B7" s="39"/>
      <c r="C7" s="39"/>
      <c r="D7" s="26">
        <v>0</v>
      </c>
      <c r="E7" s="31" t="str">
        <f>HOPE_CostProfiles!C7</f>
        <v/>
      </c>
      <c r="F7" s="31" t="str">
        <f>HOPE_CostProfiles!D7</f>
        <v/>
      </c>
      <c r="G7" s="26" t="s">
        <v>31</v>
      </c>
      <c r="H7" s="26">
        <v>1</v>
      </c>
      <c r="I7" s="26">
        <v>0</v>
      </c>
      <c r="J7" s="26">
        <v>0</v>
      </c>
      <c r="K7" s="29"/>
      <c r="L7" s="29"/>
      <c r="M7" s="29">
        <v>1</v>
      </c>
      <c r="N7" s="29"/>
      <c r="O7" s="29">
        <v>0</v>
      </c>
      <c r="P7" s="29"/>
      <c r="Q7" s="29"/>
      <c r="R7" s="29"/>
      <c r="S7" s="29"/>
      <c r="T7" s="29"/>
      <c r="U7" s="28" t="str">
        <f>HOPE_CostProfiles!S7</f>
        <v/>
      </c>
      <c r="V7" s="26" t="s">
        <v>407</v>
      </c>
      <c r="W7" s="30" t="s">
        <v>408</v>
      </c>
      <c r="X7" s="30">
        <v>2030</v>
      </c>
      <c r="Y7" s="30" t="s">
        <v>409</v>
      </c>
      <c r="Z7" s="30" t="str">
        <f t="shared" si="0"/>
        <v>NO</v>
      </c>
      <c r="AA7" s="30" t="s">
        <v>410</v>
      </c>
      <c r="AB7" s="26">
        <v>7</v>
      </c>
    </row>
    <row r="8" spans="1:28" ht="28.3">
      <c r="A8" s="26" t="s">
        <v>413</v>
      </c>
      <c r="B8" s="39"/>
      <c r="C8" s="39"/>
      <c r="D8" s="26">
        <v>0</v>
      </c>
      <c r="E8" s="31">
        <f>HOPE_CostProfiles!C8</f>
        <v>740795.06916512537</v>
      </c>
      <c r="F8" s="31" t="str">
        <f>HOPE_CostProfiles!D8</f>
        <v/>
      </c>
      <c r="G8" s="26" t="s">
        <v>350</v>
      </c>
      <c r="H8" s="26">
        <v>0</v>
      </c>
      <c r="I8" s="26">
        <v>0</v>
      </c>
      <c r="J8" s="26">
        <v>0</v>
      </c>
      <c r="K8" s="28">
        <v>0</v>
      </c>
      <c r="L8" s="29"/>
      <c r="M8" s="29">
        <v>1</v>
      </c>
      <c r="N8" s="29"/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6" t="s">
        <v>414</v>
      </c>
      <c r="W8" s="30" t="s">
        <v>408</v>
      </c>
      <c r="X8" s="30">
        <v>2030</v>
      </c>
      <c r="Y8" s="30" t="s">
        <v>415</v>
      </c>
      <c r="Z8" s="30" t="str">
        <f t="shared" si="0"/>
        <v>NO</v>
      </c>
      <c r="AA8" s="30" t="s">
        <v>416</v>
      </c>
      <c r="AB8" s="26">
        <v>8</v>
      </c>
    </row>
    <row r="9" spans="1:28" ht="28.3">
      <c r="A9" s="26" t="s">
        <v>417</v>
      </c>
      <c r="B9" s="39"/>
      <c r="C9" s="39"/>
      <c r="D9" s="26">
        <v>0</v>
      </c>
      <c r="E9" s="31">
        <f>HOPE_CostProfiles!C9</f>
        <v>157009.19880506711</v>
      </c>
      <c r="F9" s="31">
        <f>HOPE_CostProfiles!D9</f>
        <v>0</v>
      </c>
      <c r="G9" s="26" t="s">
        <v>352</v>
      </c>
      <c r="H9" s="26">
        <v>0</v>
      </c>
      <c r="I9" s="26">
        <v>1</v>
      </c>
      <c r="J9" s="26">
        <v>0</v>
      </c>
      <c r="K9" s="28">
        <v>0</v>
      </c>
      <c r="L9" s="29"/>
      <c r="M9" s="29"/>
      <c r="N9" s="29"/>
      <c r="O9" s="28">
        <v>1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6" t="s">
        <v>414</v>
      </c>
      <c r="W9" s="30" t="s">
        <v>408</v>
      </c>
      <c r="X9" s="30">
        <v>2030</v>
      </c>
      <c r="Y9" s="30" t="s">
        <v>33</v>
      </c>
      <c r="Z9" s="30" t="str">
        <f t="shared" si="0"/>
        <v>NO</v>
      </c>
      <c r="AA9" s="30" t="s">
        <v>418</v>
      </c>
      <c r="AB9" s="26">
        <v>9</v>
      </c>
    </row>
    <row r="10" spans="1:28" ht="28.3">
      <c r="A10" s="26" t="s">
        <v>419</v>
      </c>
      <c r="B10" s="39"/>
      <c r="C10" s="39"/>
      <c r="D10" s="26">
        <v>0</v>
      </c>
      <c r="E10" s="31">
        <f>HOPE_CostProfiles!C10</f>
        <v>117995.32194915738</v>
      </c>
      <c r="F10" s="31">
        <f>HOPE_CostProfiles!D10</f>
        <v>0</v>
      </c>
      <c r="G10" s="26" t="s">
        <v>354</v>
      </c>
      <c r="H10" s="26">
        <v>0</v>
      </c>
      <c r="I10" s="26">
        <v>1</v>
      </c>
      <c r="J10" s="26">
        <v>0</v>
      </c>
      <c r="K10" s="28">
        <v>0</v>
      </c>
      <c r="L10" s="29"/>
      <c r="M10" s="29"/>
      <c r="N10" s="29"/>
      <c r="O10" s="28">
        <v>1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6" t="s">
        <v>414</v>
      </c>
      <c r="W10" s="30" t="s">
        <v>408</v>
      </c>
      <c r="X10" s="30">
        <v>2030</v>
      </c>
      <c r="Y10" s="30" t="s">
        <v>34</v>
      </c>
      <c r="Z10" s="30" t="str">
        <f t="shared" si="0"/>
        <v>NO</v>
      </c>
      <c r="AA10" s="30" t="s">
        <v>418</v>
      </c>
      <c r="AB10" s="26">
        <v>10</v>
      </c>
    </row>
    <row r="11" spans="1:28" ht="28.3">
      <c r="A11" s="26" t="s">
        <v>420</v>
      </c>
      <c r="B11" s="39"/>
      <c r="C11" s="39"/>
      <c r="D11" s="26">
        <v>0</v>
      </c>
      <c r="E11" s="31">
        <f>HOPE_CostProfiles!C14</f>
        <v>113754.56970809578</v>
      </c>
      <c r="F11" s="31" t="str">
        <f>HOPE_CostProfiles!D14</f>
        <v/>
      </c>
      <c r="G11" s="26" t="s">
        <v>344</v>
      </c>
      <c r="H11" s="26">
        <v>1</v>
      </c>
      <c r="I11" s="26">
        <v>0</v>
      </c>
      <c r="J11" s="26">
        <v>0</v>
      </c>
      <c r="K11" s="29"/>
      <c r="L11" s="29"/>
      <c r="M11" s="29">
        <v>1</v>
      </c>
      <c r="N11" s="29"/>
      <c r="O11" s="29">
        <v>0</v>
      </c>
      <c r="P11" s="29"/>
      <c r="Q11" s="29"/>
      <c r="R11" s="29"/>
      <c r="S11" s="29"/>
      <c r="T11" s="29"/>
      <c r="U11" s="28">
        <f>HOPE_CostProfiles!S14</f>
        <v>6.226</v>
      </c>
      <c r="V11" s="26" t="s">
        <v>407</v>
      </c>
      <c r="W11" s="30" t="s">
        <v>408</v>
      </c>
      <c r="X11" s="30">
        <v>2035</v>
      </c>
      <c r="Y11" s="30" t="s">
        <v>409</v>
      </c>
      <c r="Z11" s="30" t="str">
        <f t="shared" si="0"/>
        <v>NO</v>
      </c>
      <c r="AA11" s="30" t="s">
        <v>410</v>
      </c>
      <c r="AB11" s="26">
        <v>14</v>
      </c>
    </row>
    <row r="12" spans="1:28" ht="28.3">
      <c r="A12" s="26" t="s">
        <v>421</v>
      </c>
      <c r="B12" s="39"/>
      <c r="C12" s="39"/>
      <c r="D12" s="26">
        <v>0</v>
      </c>
      <c r="E12" s="31">
        <f>HOPE_CostProfiles!C15</f>
        <v>96575.793218386199</v>
      </c>
      <c r="F12" s="31" t="str">
        <f>HOPE_CostProfiles!D15</f>
        <v/>
      </c>
      <c r="G12" s="26" t="s">
        <v>349</v>
      </c>
      <c r="H12" s="26">
        <v>1</v>
      </c>
      <c r="I12" s="26">
        <v>0</v>
      </c>
      <c r="J12" s="26">
        <v>0</v>
      </c>
      <c r="K12" s="29"/>
      <c r="L12" s="29"/>
      <c r="M12" s="29">
        <v>1</v>
      </c>
      <c r="N12" s="29"/>
      <c r="O12" s="29">
        <v>0</v>
      </c>
      <c r="P12" s="29"/>
      <c r="Q12" s="29"/>
      <c r="R12" s="29"/>
      <c r="S12" s="29"/>
      <c r="T12" s="29"/>
      <c r="U12" s="28">
        <f>HOPE_CostProfiles!S15</f>
        <v>9.1419999999999995</v>
      </c>
      <c r="V12" s="26" t="s">
        <v>407</v>
      </c>
      <c r="W12" s="30" t="s">
        <v>408</v>
      </c>
      <c r="X12" s="30">
        <v>2035</v>
      </c>
      <c r="Y12" s="30" t="s">
        <v>409</v>
      </c>
      <c r="Z12" s="30" t="str">
        <f t="shared" si="0"/>
        <v>NO</v>
      </c>
      <c r="AA12" s="30" t="s">
        <v>410</v>
      </c>
      <c r="AB12" s="26">
        <v>15</v>
      </c>
    </row>
    <row r="13" spans="1:28" ht="28.3">
      <c r="A13" s="26" t="s">
        <v>422</v>
      </c>
      <c r="B13" s="39"/>
      <c r="C13" s="39"/>
      <c r="D13" s="26">
        <v>0</v>
      </c>
      <c r="E13" s="31" t="str">
        <f>HOPE_CostProfiles!C16</f>
        <v/>
      </c>
      <c r="F13" s="31" t="str">
        <f>HOPE_CostProfiles!D16</f>
        <v/>
      </c>
      <c r="G13" s="26" t="s">
        <v>31</v>
      </c>
      <c r="H13" s="26">
        <v>1</v>
      </c>
      <c r="I13" s="26">
        <v>0</v>
      </c>
      <c r="J13" s="26">
        <v>0</v>
      </c>
      <c r="K13" s="29"/>
      <c r="L13" s="29"/>
      <c r="M13" s="29">
        <v>1</v>
      </c>
      <c r="N13" s="29"/>
      <c r="O13" s="29">
        <v>0</v>
      </c>
      <c r="P13" s="29"/>
      <c r="Q13" s="29"/>
      <c r="R13" s="29"/>
      <c r="S13" s="29"/>
      <c r="T13" s="29"/>
      <c r="U13" s="28" t="str">
        <f>HOPE_CostProfiles!S16</f>
        <v/>
      </c>
      <c r="V13" s="26" t="s">
        <v>407</v>
      </c>
      <c r="W13" s="30" t="s">
        <v>408</v>
      </c>
      <c r="X13" s="30">
        <v>2035</v>
      </c>
      <c r="Y13" s="30" t="s">
        <v>409</v>
      </c>
      <c r="Z13" s="30" t="str">
        <f t="shared" si="0"/>
        <v>NO</v>
      </c>
      <c r="AA13" s="30" t="s">
        <v>410</v>
      </c>
      <c r="AB13" s="26">
        <v>16</v>
      </c>
    </row>
    <row r="14" spans="1:28" ht="28.3">
      <c r="A14" s="26" t="s">
        <v>423</v>
      </c>
      <c r="B14" s="39"/>
      <c r="C14" s="39"/>
      <c r="D14" s="26">
        <v>0</v>
      </c>
      <c r="E14" s="31">
        <f>HOPE_CostProfiles!C17</f>
        <v>706973.15257341601</v>
      </c>
      <c r="F14" s="31" t="str">
        <f>HOPE_CostProfiles!D17</f>
        <v/>
      </c>
      <c r="G14" s="26" t="s">
        <v>350</v>
      </c>
      <c r="H14" s="26">
        <v>0</v>
      </c>
      <c r="I14" s="26">
        <v>0</v>
      </c>
      <c r="J14" s="26">
        <v>0</v>
      </c>
      <c r="K14" s="28">
        <v>0</v>
      </c>
      <c r="L14" s="29"/>
      <c r="M14" s="29">
        <v>1</v>
      </c>
      <c r="N14" s="29"/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6" t="s">
        <v>414</v>
      </c>
      <c r="W14" s="30" t="s">
        <v>408</v>
      </c>
      <c r="X14" s="30">
        <v>2035</v>
      </c>
      <c r="Y14" s="30" t="s">
        <v>415</v>
      </c>
      <c r="Z14" s="30" t="str">
        <f t="shared" si="0"/>
        <v>NO</v>
      </c>
      <c r="AA14" s="30" t="s">
        <v>416</v>
      </c>
      <c r="AB14" s="26">
        <v>17</v>
      </c>
    </row>
    <row r="15" spans="1:28" ht="28.3">
      <c r="A15" s="26" t="s">
        <v>424</v>
      </c>
      <c r="B15" s="39"/>
      <c r="C15" s="39"/>
      <c r="D15" s="26">
        <v>0</v>
      </c>
      <c r="E15" s="31">
        <f>HOPE_CostProfiles!C18</f>
        <v>149411.60987658089</v>
      </c>
      <c r="F15" s="31">
        <f>HOPE_CostProfiles!D18</f>
        <v>0</v>
      </c>
      <c r="G15" s="26" t="s">
        <v>352</v>
      </c>
      <c r="H15" s="26">
        <v>0</v>
      </c>
      <c r="I15" s="26">
        <v>1</v>
      </c>
      <c r="J15" s="26">
        <v>0</v>
      </c>
      <c r="K15" s="28">
        <v>0</v>
      </c>
      <c r="L15" s="29"/>
      <c r="M15" s="29"/>
      <c r="N15" s="29"/>
      <c r="O15" s="28">
        <v>1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6" t="s">
        <v>414</v>
      </c>
      <c r="W15" s="30" t="s">
        <v>408</v>
      </c>
      <c r="X15" s="30">
        <v>2035</v>
      </c>
      <c r="Y15" s="30" t="s">
        <v>33</v>
      </c>
      <c r="Z15" s="30" t="str">
        <f t="shared" si="0"/>
        <v>NO</v>
      </c>
      <c r="AA15" s="30" t="s">
        <v>418</v>
      </c>
      <c r="AB15" s="26">
        <v>18</v>
      </c>
    </row>
    <row r="16" spans="1:28" ht="28.3">
      <c r="A16" s="26" t="s">
        <v>425</v>
      </c>
      <c r="B16" s="39"/>
      <c r="C16" s="39"/>
      <c r="D16" s="26">
        <v>0</v>
      </c>
      <c r="E16" s="31">
        <f>HOPE_CostProfiles!C19</f>
        <v>108393.10915855631</v>
      </c>
      <c r="F16" s="31">
        <f>HOPE_CostProfiles!D19</f>
        <v>0</v>
      </c>
      <c r="G16" s="26" t="s">
        <v>354</v>
      </c>
      <c r="H16" s="26">
        <v>0</v>
      </c>
      <c r="I16" s="26">
        <v>1</v>
      </c>
      <c r="J16" s="26">
        <v>0</v>
      </c>
      <c r="K16" s="28">
        <v>0</v>
      </c>
      <c r="L16" s="29"/>
      <c r="M16" s="29"/>
      <c r="N16" s="29"/>
      <c r="O16" s="28">
        <v>1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6" t="s">
        <v>414</v>
      </c>
      <c r="W16" s="30" t="s">
        <v>408</v>
      </c>
      <c r="X16" s="30">
        <v>2035</v>
      </c>
      <c r="Y16" s="30" t="s">
        <v>34</v>
      </c>
      <c r="Z16" s="30" t="str">
        <f t="shared" si="0"/>
        <v>NO</v>
      </c>
      <c r="AA16" s="30" t="s">
        <v>418</v>
      </c>
      <c r="AB16" s="26">
        <v>19</v>
      </c>
    </row>
    <row r="17" spans="1:28" ht="27.45" customHeight="1">
      <c r="A17" t="s">
        <v>426</v>
      </c>
      <c r="B17" s="55"/>
      <c r="C17" s="55"/>
      <c r="D17">
        <v>0</v>
      </c>
      <c r="E17" s="22">
        <f>HOPE_CostProfiles!C23</f>
        <v>110514.34059460457</v>
      </c>
      <c r="F17" s="22" t="str">
        <f>IF(HOPE_CostProfiles!D23="","",HOPE_CostProfiles!D23)</f>
        <v/>
      </c>
      <c r="G17" t="s">
        <v>362</v>
      </c>
      <c r="H17">
        <v>1</v>
      </c>
      <c r="I17">
        <v>0</v>
      </c>
      <c r="J17">
        <v>0</v>
      </c>
      <c r="K17" s="24">
        <v>0.7763874999999999</v>
      </c>
      <c r="L17" s="43"/>
      <c r="M17" s="43">
        <v>1</v>
      </c>
      <c r="N17" s="43"/>
      <c r="O17" s="24">
        <v>0</v>
      </c>
      <c r="P17" s="24">
        <v>0.7763874999999999</v>
      </c>
      <c r="Q17" s="43"/>
      <c r="R17" s="43"/>
      <c r="S17" s="43"/>
      <c r="T17" s="43"/>
      <c r="U17" s="24">
        <v>9.5</v>
      </c>
      <c r="V17" t="s">
        <v>427</v>
      </c>
      <c r="W17" s="10" t="s">
        <v>428</v>
      </c>
      <c r="X17" s="10">
        <v>2030</v>
      </c>
      <c r="Y17" s="10" t="s">
        <v>429</v>
      </c>
      <c r="Z17" s="10" t="str">
        <f t="shared" si="0"/>
        <v>NO</v>
      </c>
      <c r="AA17" s="10" t="s">
        <v>430</v>
      </c>
      <c r="AB17">
        <v>23</v>
      </c>
    </row>
    <row r="18" spans="1:28" ht="27.45" customHeight="1">
      <c r="A18" t="s">
        <v>431</v>
      </c>
      <c r="B18" s="55"/>
      <c r="C18" s="55"/>
      <c r="D18">
        <v>0</v>
      </c>
      <c r="E18" s="22">
        <f>HOPE_CostProfiles!C24</f>
        <v>110514.34059460457</v>
      </c>
      <c r="F18" s="22" t="str">
        <f>IF(HOPE_CostProfiles!D24="","",HOPE_CostProfiles!D24)</f>
        <v/>
      </c>
      <c r="G18" t="s">
        <v>362</v>
      </c>
      <c r="H18">
        <v>1</v>
      </c>
      <c r="I18">
        <v>0</v>
      </c>
      <c r="J18">
        <v>0</v>
      </c>
      <c r="K18" s="24">
        <v>0.7763874999999999</v>
      </c>
      <c r="L18" s="43"/>
      <c r="M18" s="43">
        <v>1</v>
      </c>
      <c r="N18" s="43"/>
      <c r="O18" s="24">
        <v>0</v>
      </c>
      <c r="P18" s="24">
        <v>0.7763874999999999</v>
      </c>
      <c r="Q18" s="43"/>
      <c r="R18" s="43"/>
      <c r="S18" s="43"/>
      <c r="T18" s="43"/>
      <c r="U18" s="24">
        <v>9.5</v>
      </c>
      <c r="V18" t="s">
        <v>427</v>
      </c>
      <c r="W18" s="10" t="s">
        <v>428</v>
      </c>
      <c r="X18" s="10">
        <v>2035</v>
      </c>
      <c r="Y18" s="10" t="s">
        <v>429</v>
      </c>
      <c r="Z18" s="10" t="str">
        <f t="shared" si="0"/>
        <v>NO</v>
      </c>
      <c r="AA18" s="10" t="s">
        <v>430</v>
      </c>
      <c r="AB18">
        <v>24</v>
      </c>
    </row>
    <row r="19" spans="1:28" ht="27.45" customHeight="1">
      <c r="A19" t="s">
        <v>432</v>
      </c>
      <c r="B19" s="68"/>
      <c r="C19" s="68"/>
      <c r="D19">
        <v>0</v>
      </c>
      <c r="E19" s="22">
        <f>HOPE_CostProfiles!C25</f>
        <v>154991.52841340244</v>
      </c>
      <c r="F19" s="22" t="str">
        <f>IF(HOPE_CostProfiles!D25="","",HOPE_CostProfiles!D25)</f>
        <v/>
      </c>
      <c r="G19" t="s">
        <v>366</v>
      </c>
      <c r="H19">
        <v>1</v>
      </c>
      <c r="I19">
        <v>0</v>
      </c>
      <c r="J19">
        <v>0</v>
      </c>
      <c r="K19" s="24">
        <v>0.7763874999999999</v>
      </c>
      <c r="L19" s="69"/>
      <c r="M19" s="69">
        <v>1</v>
      </c>
      <c r="N19" s="69"/>
      <c r="O19" s="24">
        <v>0</v>
      </c>
      <c r="P19" s="24">
        <v>0.7763874999999999</v>
      </c>
      <c r="Q19" s="69"/>
      <c r="R19" s="69"/>
      <c r="S19" s="69"/>
      <c r="T19" s="69"/>
      <c r="U19" s="24">
        <v>9.5</v>
      </c>
      <c r="V19" t="s">
        <v>433</v>
      </c>
      <c r="W19" s="10" t="s">
        <v>434</v>
      </c>
      <c r="X19" s="10">
        <v>2030</v>
      </c>
      <c r="Y19" s="10" t="s">
        <v>429</v>
      </c>
      <c r="Z19" s="10" t="str">
        <f t="shared" si="0"/>
        <v>NO</v>
      </c>
      <c r="AA19" s="10" t="s">
        <v>435</v>
      </c>
      <c r="AB19">
        <v>25</v>
      </c>
    </row>
    <row r="20" spans="1:28" ht="27.45" customHeight="1">
      <c r="A20" t="s">
        <v>436</v>
      </c>
      <c r="B20" s="68"/>
      <c r="C20" s="68"/>
      <c r="D20">
        <v>0</v>
      </c>
      <c r="E20" s="22">
        <f>HOPE_CostProfiles!C26</f>
        <v>154991.52841340244</v>
      </c>
      <c r="F20" s="22" t="str">
        <f>IF(HOPE_CostProfiles!D26="","",HOPE_CostProfiles!D26)</f>
        <v/>
      </c>
      <c r="G20" t="s">
        <v>366</v>
      </c>
      <c r="H20">
        <v>1</v>
      </c>
      <c r="I20">
        <v>0</v>
      </c>
      <c r="J20">
        <v>0</v>
      </c>
      <c r="K20" s="24">
        <v>0.7763874999999999</v>
      </c>
      <c r="L20" s="69"/>
      <c r="M20" s="69">
        <v>1</v>
      </c>
      <c r="N20" s="69"/>
      <c r="O20" s="24">
        <v>0</v>
      </c>
      <c r="P20" s="24">
        <v>0.7763874999999999</v>
      </c>
      <c r="Q20" s="69"/>
      <c r="R20" s="69"/>
      <c r="S20" s="69"/>
      <c r="T20" s="69"/>
      <c r="U20" s="24">
        <v>9.5</v>
      </c>
      <c r="V20" t="s">
        <v>433</v>
      </c>
      <c r="W20" s="10" t="s">
        <v>434</v>
      </c>
      <c r="X20" s="10">
        <v>2035</v>
      </c>
      <c r="Y20" s="10" t="s">
        <v>429</v>
      </c>
      <c r="Z20" s="10" t="str">
        <f t="shared" si="0"/>
        <v>NO</v>
      </c>
      <c r="AA20" s="10" t="s">
        <v>435</v>
      </c>
      <c r="AB20">
        <v>26</v>
      </c>
    </row>
  </sheetData>
  <mergeCells count="2">
    <mergeCell ref="A1:AB1"/>
    <mergeCell ref="A2:AB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10"/>
  <sheetViews>
    <sheetView workbookViewId="0">
      <selection sqref="A1:Y1"/>
    </sheetView>
  </sheetViews>
  <sheetFormatPr defaultRowHeight="14.15"/>
  <cols>
    <col min="1" max="1" width="28" customWidth="1"/>
    <col min="2" max="2" width="15" customWidth="1"/>
    <col min="3" max="3" width="12" customWidth="1"/>
    <col min="4" max="4" width="16" customWidth="1"/>
    <col min="5" max="5" width="15" customWidth="1"/>
    <col min="6" max="6" width="17" customWidth="1"/>
    <col min="7" max="7" width="19" customWidth="1"/>
    <col min="8" max="8" width="17" customWidth="1"/>
    <col min="9" max="9" width="16" customWidth="1"/>
    <col min="10" max="10" width="10" customWidth="1"/>
    <col min="11" max="11" width="14" customWidth="1"/>
    <col min="12" max="15" width="13" customWidth="1"/>
    <col min="16" max="16" width="18" customWidth="1"/>
    <col min="17" max="17" width="34" customWidth="1"/>
    <col min="18" max="18" width="10" customWidth="1"/>
    <col min="19" max="19" width="14" customWidth="1"/>
    <col min="20" max="20" width="16" customWidth="1"/>
    <col min="21" max="21" width="38" customWidth="1"/>
    <col min="22" max="22" width="13" customWidth="1"/>
    <col min="23" max="23" width="15" customWidth="1"/>
    <col min="24" max="24" width="18" customWidth="1"/>
    <col min="25" max="25" width="50" customWidth="1"/>
  </cols>
  <sheetData>
    <row r="1" spans="1:25" ht="14.9" customHeight="1">
      <c r="A1" s="82" t="s">
        <v>437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</row>
    <row r="2" spans="1:25" ht="20.6" customHeight="1">
      <c r="A2" s="73" t="s">
        <v>438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</row>
    <row r="4" spans="1:25" ht="29.7" customHeight="1">
      <c r="A4" s="20" t="s">
        <v>380</v>
      </c>
      <c r="B4" s="20" t="s">
        <v>381</v>
      </c>
      <c r="C4" s="20" t="s">
        <v>320</v>
      </c>
      <c r="D4" s="20" t="s">
        <v>439</v>
      </c>
      <c r="E4" s="20" t="s">
        <v>440</v>
      </c>
      <c r="F4" s="20" t="s">
        <v>441</v>
      </c>
      <c r="G4" s="20" t="s">
        <v>442</v>
      </c>
      <c r="H4" s="20" t="s">
        <v>384</v>
      </c>
      <c r="I4" s="20" t="s">
        <v>385</v>
      </c>
      <c r="J4" s="20" t="s">
        <v>389</v>
      </c>
      <c r="K4" s="20" t="s">
        <v>394</v>
      </c>
      <c r="L4" s="20" t="s">
        <v>395</v>
      </c>
      <c r="M4" s="20" t="s">
        <v>396</v>
      </c>
      <c r="N4" s="20" t="s">
        <v>397</v>
      </c>
      <c r="O4" s="20" t="s">
        <v>398</v>
      </c>
      <c r="P4" s="20" t="s">
        <v>399</v>
      </c>
      <c r="Q4" s="20" t="s">
        <v>400</v>
      </c>
      <c r="R4" s="20" t="s">
        <v>390</v>
      </c>
      <c r="S4" s="20" t="s">
        <v>443</v>
      </c>
      <c r="T4" s="20" t="s">
        <v>444</v>
      </c>
      <c r="U4" s="20" t="s">
        <v>401</v>
      </c>
      <c r="V4" s="20" t="s">
        <v>402</v>
      </c>
      <c r="W4" s="20" t="s">
        <v>341</v>
      </c>
      <c r="X4" s="20" t="s">
        <v>342</v>
      </c>
      <c r="Y4" s="20" t="s">
        <v>404</v>
      </c>
    </row>
    <row r="5" spans="1:25" ht="28.3">
      <c r="A5" t="s">
        <v>445</v>
      </c>
      <c r="B5" s="21"/>
      <c r="C5" s="21" t="s">
        <v>356</v>
      </c>
      <c r="D5" s="40" t="str">
        <f t="shared" ref="D5:D10" si="0">IF(E5="","",E5*W5)</f>
        <v/>
      </c>
      <c r="E5" s="40"/>
      <c r="F5" s="22">
        <v>0.85</v>
      </c>
      <c r="G5" s="22">
        <v>1</v>
      </c>
      <c r="H5" s="41">
        <f>HOPE_CostProfiles!C11</f>
        <v>98856.342110746962</v>
      </c>
      <c r="I5" s="41">
        <f>HOPE_CostProfiles!D11</f>
        <v>0</v>
      </c>
      <c r="J5" s="24">
        <v>0</v>
      </c>
      <c r="K5" s="24">
        <v>0</v>
      </c>
      <c r="L5" s="24">
        <v>0</v>
      </c>
      <c r="M5" s="24">
        <v>0</v>
      </c>
      <c r="N5" s="24">
        <v>0</v>
      </c>
      <c r="O5" s="24">
        <v>0</v>
      </c>
      <c r="P5" s="24">
        <v>0</v>
      </c>
      <c r="Q5" s="24" t="s">
        <v>446</v>
      </c>
      <c r="R5" s="25"/>
      <c r="S5" s="24">
        <v>1</v>
      </c>
      <c r="T5" s="24">
        <v>1</v>
      </c>
      <c r="U5" s="10" t="s">
        <v>447</v>
      </c>
      <c r="V5" s="10">
        <v>2030</v>
      </c>
      <c r="W5" s="10">
        <v>2</v>
      </c>
      <c r="X5" s="10" t="str">
        <f t="shared" ref="X5:X10" si="1">IF(AND(B5&lt;&gt;"",E5&lt;&gt;"",H5&lt;&gt;"",I5&lt;&gt;"",R5&lt;&gt;""),"YES","NO")</f>
        <v>NO</v>
      </c>
      <c r="Y5" s="10" t="s">
        <v>448</v>
      </c>
    </row>
    <row r="6" spans="1:25" ht="28.3">
      <c r="A6" t="s">
        <v>449</v>
      </c>
      <c r="B6" s="21"/>
      <c r="C6" s="21" t="s">
        <v>356</v>
      </c>
      <c r="D6" s="40" t="str">
        <f t="shared" si="0"/>
        <v/>
      </c>
      <c r="E6" s="40"/>
      <c r="F6" s="22">
        <v>0.85</v>
      </c>
      <c r="G6" s="22">
        <v>1</v>
      </c>
      <c r="H6" s="41">
        <f>HOPE_CostProfiles!C12</f>
        <v>161511.61491361525</v>
      </c>
      <c r="I6" s="41">
        <f>HOPE_CostProfiles!D12</f>
        <v>0</v>
      </c>
      <c r="J6" s="24">
        <v>0</v>
      </c>
      <c r="K6" s="24">
        <v>0</v>
      </c>
      <c r="L6" s="24">
        <v>0</v>
      </c>
      <c r="M6" s="24">
        <v>0</v>
      </c>
      <c r="N6" s="24">
        <v>0</v>
      </c>
      <c r="O6" s="24">
        <v>0</v>
      </c>
      <c r="P6" s="24">
        <v>0</v>
      </c>
      <c r="Q6" s="24" t="s">
        <v>446</v>
      </c>
      <c r="R6" s="25"/>
      <c r="S6" s="24">
        <v>1</v>
      </c>
      <c r="T6" s="24">
        <v>1</v>
      </c>
      <c r="U6" s="10" t="s">
        <v>447</v>
      </c>
      <c r="V6" s="10">
        <v>2030</v>
      </c>
      <c r="W6" s="10">
        <v>4</v>
      </c>
      <c r="X6" s="10" t="str">
        <f t="shared" si="1"/>
        <v>NO</v>
      </c>
      <c r="Y6" s="10" t="s">
        <v>448</v>
      </c>
    </row>
    <row r="7" spans="1:25" ht="28.3">
      <c r="A7" t="s">
        <v>450</v>
      </c>
      <c r="B7" s="21"/>
      <c r="C7" s="21" t="s">
        <v>356</v>
      </c>
      <c r="D7" s="40" t="str">
        <f t="shared" si="0"/>
        <v/>
      </c>
      <c r="E7" s="40"/>
      <c r="F7" s="22">
        <v>0.85</v>
      </c>
      <c r="G7" s="22">
        <v>1</v>
      </c>
      <c r="H7" s="41">
        <f>HOPE_CostProfiles!C13</f>
        <v>236471.95210821275</v>
      </c>
      <c r="I7" s="41">
        <f>HOPE_CostProfiles!D13</f>
        <v>0</v>
      </c>
      <c r="J7" s="24">
        <v>0</v>
      </c>
      <c r="K7" s="24">
        <v>0</v>
      </c>
      <c r="L7" s="24">
        <v>0</v>
      </c>
      <c r="M7" s="24">
        <v>0</v>
      </c>
      <c r="N7" s="24">
        <v>0</v>
      </c>
      <c r="O7" s="24">
        <v>0</v>
      </c>
      <c r="P7" s="24">
        <v>0</v>
      </c>
      <c r="Q7" s="24" t="s">
        <v>446</v>
      </c>
      <c r="R7" s="25"/>
      <c r="S7" s="24">
        <v>1</v>
      </c>
      <c r="T7" s="24">
        <v>1</v>
      </c>
      <c r="U7" s="10" t="s">
        <v>447</v>
      </c>
      <c r="V7" s="10">
        <v>2030</v>
      </c>
      <c r="W7" s="10">
        <v>6</v>
      </c>
      <c r="X7" s="10" t="str">
        <f t="shared" si="1"/>
        <v>NO</v>
      </c>
      <c r="Y7" s="10" t="s">
        <v>448</v>
      </c>
    </row>
    <row r="8" spans="1:25" ht="28.3">
      <c r="A8" t="s">
        <v>451</v>
      </c>
      <c r="B8" s="21"/>
      <c r="C8" s="21" t="s">
        <v>356</v>
      </c>
      <c r="D8" s="40" t="str">
        <f t="shared" si="0"/>
        <v/>
      </c>
      <c r="E8" s="40"/>
      <c r="F8" s="22">
        <v>0.85</v>
      </c>
      <c r="G8" s="22">
        <v>1</v>
      </c>
      <c r="H8" s="41">
        <f>HOPE_CostProfiles!C20</f>
        <v>91548.361281665944</v>
      </c>
      <c r="I8" s="41">
        <f>HOPE_CostProfiles!D20</f>
        <v>0</v>
      </c>
      <c r="J8" s="24">
        <v>0</v>
      </c>
      <c r="K8" s="24">
        <v>0</v>
      </c>
      <c r="L8" s="24">
        <v>0</v>
      </c>
      <c r="M8" s="24">
        <v>0</v>
      </c>
      <c r="N8" s="24">
        <v>0</v>
      </c>
      <c r="O8" s="24">
        <v>0</v>
      </c>
      <c r="P8" s="24">
        <v>0</v>
      </c>
      <c r="Q8" s="24" t="s">
        <v>446</v>
      </c>
      <c r="R8" s="25"/>
      <c r="S8" s="24">
        <v>1</v>
      </c>
      <c r="T8" s="24">
        <v>1</v>
      </c>
      <c r="U8" s="10" t="s">
        <v>447</v>
      </c>
      <c r="V8" s="10">
        <v>2035</v>
      </c>
      <c r="W8" s="10">
        <v>2</v>
      </c>
      <c r="X8" s="10" t="str">
        <f t="shared" si="1"/>
        <v>NO</v>
      </c>
      <c r="Y8" s="10" t="s">
        <v>448</v>
      </c>
    </row>
    <row r="9" spans="1:25" ht="28.3">
      <c r="A9" t="s">
        <v>452</v>
      </c>
      <c r="B9" s="21"/>
      <c r="C9" s="21" t="s">
        <v>356</v>
      </c>
      <c r="D9" s="40" t="str">
        <f t="shared" si="0"/>
        <v/>
      </c>
      <c r="E9" s="40"/>
      <c r="F9" s="22">
        <v>0.85</v>
      </c>
      <c r="G9" s="22">
        <v>1</v>
      </c>
      <c r="H9" s="41">
        <f>HOPE_CostProfiles!C21</f>
        <v>142527.94759965921</v>
      </c>
      <c r="I9" s="41">
        <f>HOPE_CostProfiles!D21</f>
        <v>0</v>
      </c>
      <c r="J9" s="24">
        <v>0</v>
      </c>
      <c r="K9" s="24">
        <v>0</v>
      </c>
      <c r="L9" s="24">
        <v>0</v>
      </c>
      <c r="M9" s="24">
        <v>0</v>
      </c>
      <c r="N9" s="24">
        <v>0</v>
      </c>
      <c r="O9" s="24">
        <v>0</v>
      </c>
      <c r="P9" s="24">
        <v>0</v>
      </c>
      <c r="Q9" s="24" t="s">
        <v>446</v>
      </c>
      <c r="R9" s="25"/>
      <c r="S9" s="24">
        <v>1</v>
      </c>
      <c r="T9" s="24">
        <v>1</v>
      </c>
      <c r="U9" s="10" t="s">
        <v>447</v>
      </c>
      <c r="V9" s="10">
        <v>2035</v>
      </c>
      <c r="W9" s="10">
        <v>4</v>
      </c>
      <c r="X9" s="10" t="str">
        <f t="shared" si="1"/>
        <v>NO</v>
      </c>
      <c r="Y9" s="10" t="s">
        <v>448</v>
      </c>
    </row>
    <row r="10" spans="1:25" ht="28.3">
      <c r="A10" t="s">
        <v>453</v>
      </c>
      <c r="B10" s="21"/>
      <c r="C10" s="21" t="s">
        <v>356</v>
      </c>
      <c r="D10" s="40" t="str">
        <f t="shared" si="0"/>
        <v/>
      </c>
      <c r="E10" s="40"/>
      <c r="F10" s="22">
        <v>0.85</v>
      </c>
      <c r="G10" s="22">
        <v>1</v>
      </c>
      <c r="H10" s="41">
        <f>HOPE_CostProfiles!C22</f>
        <v>218397.76007185332</v>
      </c>
      <c r="I10" s="41">
        <f>HOPE_CostProfiles!D22</f>
        <v>0</v>
      </c>
      <c r="J10" s="24">
        <v>0</v>
      </c>
      <c r="K10" s="24">
        <v>0</v>
      </c>
      <c r="L10" s="24">
        <v>0</v>
      </c>
      <c r="M10" s="24">
        <v>0</v>
      </c>
      <c r="N10" s="24">
        <v>0</v>
      </c>
      <c r="O10" s="24">
        <v>0</v>
      </c>
      <c r="P10" s="24">
        <v>0</v>
      </c>
      <c r="Q10" s="24" t="s">
        <v>446</v>
      </c>
      <c r="R10" s="25"/>
      <c r="S10" s="24">
        <v>1</v>
      </c>
      <c r="T10" s="24">
        <v>1</v>
      </c>
      <c r="U10" s="10" t="s">
        <v>447</v>
      </c>
      <c r="V10" s="10">
        <v>2035</v>
      </c>
      <c r="W10" s="10">
        <v>6</v>
      </c>
      <c r="X10" s="10" t="str">
        <f t="shared" si="1"/>
        <v>NO</v>
      </c>
      <c r="Y10" s="10" t="s">
        <v>448</v>
      </c>
    </row>
  </sheetData>
  <mergeCells count="2">
    <mergeCell ref="A1:Y1"/>
    <mergeCell ref="A2:Y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26"/>
  <sheetViews>
    <sheetView workbookViewId="0">
      <selection sqref="A1:N1"/>
    </sheetView>
  </sheetViews>
  <sheetFormatPr defaultRowHeight="14.15"/>
  <cols>
    <col min="1" max="1" width="34" customWidth="1"/>
    <col min="2" max="2" width="38" customWidth="1"/>
    <col min="3" max="3" width="14" customWidth="1"/>
    <col min="4" max="4" width="17" customWidth="1"/>
    <col min="5" max="5" width="18" customWidth="1"/>
    <col min="6" max="6" width="17" customWidth="1"/>
    <col min="7" max="7" width="32" customWidth="1"/>
    <col min="8" max="8" width="13" customWidth="1"/>
    <col min="9" max="9" width="15" customWidth="1"/>
    <col min="10" max="10" width="17" customWidth="1"/>
    <col min="11" max="11" width="18" customWidth="1"/>
    <col min="12" max="12" width="15" customWidth="1"/>
    <col min="13" max="13" width="48" customWidth="1"/>
    <col min="14" max="14" width="58" customWidth="1"/>
  </cols>
  <sheetData>
    <row r="1" spans="1:14" ht="14.9" customHeight="1">
      <c r="A1" s="96" t="s">
        <v>487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</row>
    <row r="2" spans="1:14" ht="24" customHeight="1">
      <c r="A2" s="97" t="s">
        <v>488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</row>
    <row r="4" spans="1:14" ht="28.65" customHeight="1">
      <c r="A4" s="49" t="s">
        <v>45</v>
      </c>
      <c r="B4" s="49" t="s">
        <v>489</v>
      </c>
      <c r="C4" s="49" t="s">
        <v>490</v>
      </c>
      <c r="D4" s="49" t="s">
        <v>491</v>
      </c>
      <c r="E4" s="49" t="s">
        <v>492</v>
      </c>
      <c r="F4" s="49" t="s">
        <v>493</v>
      </c>
      <c r="G4" s="49" t="s">
        <v>494</v>
      </c>
      <c r="H4" s="49" t="s">
        <v>495</v>
      </c>
      <c r="I4" s="49" t="s">
        <v>496</v>
      </c>
      <c r="J4" s="49" t="s">
        <v>497</v>
      </c>
      <c r="K4" s="49" t="s">
        <v>498</v>
      </c>
      <c r="L4" s="49" t="s">
        <v>499</v>
      </c>
      <c r="M4" s="49" t="s">
        <v>500</v>
      </c>
      <c r="N4" s="49" t="s">
        <v>51</v>
      </c>
    </row>
    <row r="5" spans="1:14" ht="28.3">
      <c r="A5" s="10" t="s">
        <v>501</v>
      </c>
      <c r="B5" s="10" t="s">
        <v>502</v>
      </c>
      <c r="C5" s="10">
        <v>2018</v>
      </c>
      <c r="D5" s="53">
        <v>400</v>
      </c>
      <c r="E5" s="53">
        <v>400</v>
      </c>
      <c r="F5" s="53">
        <v>100</v>
      </c>
      <c r="G5" s="53"/>
      <c r="H5" s="53"/>
      <c r="I5" s="54">
        <f>C14</f>
        <v>1.2820948838542932</v>
      </c>
      <c r="J5" s="53">
        <f t="shared" ref="J5:J10" si="0">D5*I5</f>
        <v>512.8379535417173</v>
      </c>
      <c r="K5" s="53">
        <f t="shared" ref="K5:K10" si="1">E5*I5</f>
        <v>512.8379535417173</v>
      </c>
      <c r="L5" s="53">
        <f t="shared" ref="L5:L10" si="2">IF(F5="","",F5*I5)</f>
        <v>128.20948838542932</v>
      </c>
      <c r="M5" s="10" t="s">
        <v>503</v>
      </c>
      <c r="N5" s="52" t="s">
        <v>504</v>
      </c>
    </row>
    <row r="6" spans="1:14" ht="42.45">
      <c r="A6" s="10" t="s">
        <v>505</v>
      </c>
      <c r="B6" s="10" t="s">
        <v>506</v>
      </c>
      <c r="C6" s="10">
        <v>2019</v>
      </c>
      <c r="D6" s="53">
        <v>800</v>
      </c>
      <c r="E6" s="53">
        <v>800</v>
      </c>
      <c r="F6" s="53"/>
      <c r="G6" s="53" t="s">
        <v>507</v>
      </c>
      <c r="H6" s="53">
        <v>20</v>
      </c>
      <c r="I6" s="54">
        <f>C15</f>
        <v>1.259277078272842</v>
      </c>
      <c r="J6" s="53">
        <f t="shared" si="0"/>
        <v>1007.4216626182736</v>
      </c>
      <c r="K6" s="53">
        <f t="shared" si="1"/>
        <v>1007.4216626182736</v>
      </c>
      <c r="L6" s="53" t="str">
        <f t="shared" si="2"/>
        <v/>
      </c>
      <c r="M6" s="10" t="s">
        <v>508</v>
      </c>
      <c r="N6" s="52" t="s">
        <v>364</v>
      </c>
    </row>
    <row r="7" spans="1:14" ht="28.3">
      <c r="A7" s="10" t="s">
        <v>509</v>
      </c>
      <c r="B7" s="10" t="s">
        <v>510</v>
      </c>
      <c r="C7" s="10">
        <v>2024</v>
      </c>
      <c r="D7" s="53">
        <v>800</v>
      </c>
      <c r="E7" s="53">
        <v>800</v>
      </c>
      <c r="F7" s="53">
        <v>35</v>
      </c>
      <c r="G7" s="53"/>
      <c r="H7" s="53"/>
      <c r="I7" s="54">
        <f>C16</f>
        <v>1.0263126854942315</v>
      </c>
      <c r="J7" s="53">
        <f t="shared" si="0"/>
        <v>821.05014839538524</v>
      </c>
      <c r="K7" s="53">
        <f t="shared" si="1"/>
        <v>821.05014839538524</v>
      </c>
      <c r="L7" s="53">
        <f t="shared" si="2"/>
        <v>35.920943992298099</v>
      </c>
      <c r="M7" s="10" t="s">
        <v>511</v>
      </c>
      <c r="N7" s="52" t="s">
        <v>512</v>
      </c>
    </row>
    <row r="8" spans="1:14" ht="28.3">
      <c r="A8" s="10" t="s">
        <v>513</v>
      </c>
      <c r="B8" s="10" t="s">
        <v>514</v>
      </c>
      <c r="C8" s="10">
        <v>2024</v>
      </c>
      <c r="D8" s="53">
        <v>600</v>
      </c>
      <c r="E8" s="53">
        <v>900</v>
      </c>
      <c r="F8" s="53"/>
      <c r="G8" s="53" t="s">
        <v>515</v>
      </c>
      <c r="H8" s="53"/>
      <c r="I8" s="54">
        <f>C16</f>
        <v>1.0263126854942315</v>
      </c>
      <c r="J8" s="53">
        <f t="shared" si="0"/>
        <v>615.7876112965389</v>
      </c>
      <c r="K8" s="53">
        <f t="shared" si="1"/>
        <v>923.68141694480835</v>
      </c>
      <c r="L8" s="53" t="str">
        <f t="shared" si="2"/>
        <v/>
      </c>
      <c r="M8" s="10" t="s">
        <v>516</v>
      </c>
      <c r="N8" s="52" t="s">
        <v>517</v>
      </c>
    </row>
    <row r="9" spans="1:14" ht="42.45">
      <c r="A9" s="10" t="s">
        <v>518</v>
      </c>
      <c r="B9" s="10" t="s">
        <v>519</v>
      </c>
      <c r="C9" s="10">
        <v>2024</v>
      </c>
      <c r="D9" s="10">
        <v>1066</v>
      </c>
      <c r="E9" s="10">
        <v>1066</v>
      </c>
      <c r="F9" s="10"/>
      <c r="G9" s="10" t="s">
        <v>520</v>
      </c>
      <c r="H9" s="10"/>
      <c r="I9" s="10">
        <f>C16</f>
        <v>1.0263126854942315</v>
      </c>
      <c r="J9" s="10">
        <f t="shared" si="0"/>
        <v>1094.0493227368509</v>
      </c>
      <c r="K9" s="10">
        <f t="shared" si="1"/>
        <v>1094.0493227368509</v>
      </c>
      <c r="L9" s="10" t="str">
        <f t="shared" si="2"/>
        <v/>
      </c>
      <c r="M9" s="10" t="s">
        <v>521</v>
      </c>
      <c r="N9" s="52" t="s">
        <v>522</v>
      </c>
    </row>
    <row r="10" spans="1:14" ht="56.6">
      <c r="A10" s="10" t="s">
        <v>523</v>
      </c>
      <c r="B10" s="10" t="s">
        <v>524</v>
      </c>
      <c r="C10" s="10">
        <v>2019</v>
      </c>
      <c r="D10" s="10">
        <v>1091</v>
      </c>
      <c r="E10" s="10">
        <v>1091</v>
      </c>
      <c r="F10" s="10">
        <v>35.159999999999997</v>
      </c>
      <c r="G10" s="10" t="s">
        <v>525</v>
      </c>
      <c r="H10" s="10">
        <v>30</v>
      </c>
      <c r="I10" s="10">
        <f>C15</f>
        <v>1.259277078272842</v>
      </c>
      <c r="J10" s="10">
        <f t="shared" si="0"/>
        <v>1373.8712923956705</v>
      </c>
      <c r="K10" s="10">
        <f t="shared" si="1"/>
        <v>1373.8712923956705</v>
      </c>
      <c r="L10" s="10">
        <f t="shared" si="2"/>
        <v>44.276182072073119</v>
      </c>
      <c r="M10" s="10" t="s">
        <v>526</v>
      </c>
      <c r="N10" s="52" t="s">
        <v>107</v>
      </c>
    </row>
    <row r="11" spans="1:14">
      <c r="A11" s="50"/>
      <c r="B11" s="50"/>
      <c r="C11" s="50"/>
      <c r="D11" s="50"/>
    </row>
    <row r="12" spans="1:14">
      <c r="D12" s="9"/>
    </row>
    <row r="13" spans="1:14" ht="28.3">
      <c r="A13" s="61" t="s">
        <v>527</v>
      </c>
      <c r="B13" s="61" t="s">
        <v>528</v>
      </c>
      <c r="C13" s="61" t="s">
        <v>496</v>
      </c>
      <c r="D13" s="70" t="s">
        <v>45</v>
      </c>
    </row>
    <row r="14" spans="1:14">
      <c r="A14">
        <v>2018</v>
      </c>
      <c r="B14">
        <v>251.107</v>
      </c>
      <c r="C14">
        <f>$B$17/B14</f>
        <v>1.2820948838542932</v>
      </c>
      <c r="D14" s="9" t="s">
        <v>24</v>
      </c>
    </row>
    <row r="15" spans="1:14">
      <c r="A15">
        <v>2019</v>
      </c>
      <c r="B15">
        <v>255.65700000000001</v>
      </c>
      <c r="C15">
        <f>$B$17/B15</f>
        <v>1.259277078272842</v>
      </c>
      <c r="D15" s="9" t="s">
        <v>24</v>
      </c>
    </row>
    <row r="16" spans="1:14">
      <c r="A16">
        <v>2024</v>
      </c>
      <c r="B16">
        <v>313.68900000000002</v>
      </c>
      <c r="C16">
        <f>$B$17/B16</f>
        <v>1.0263126854942315</v>
      </c>
      <c r="D16" s="9" t="s">
        <v>24</v>
      </c>
    </row>
    <row r="17" spans="1:14">
      <c r="A17">
        <v>2025</v>
      </c>
      <c r="B17">
        <v>321.94299999999998</v>
      </c>
      <c r="C17">
        <v>1</v>
      </c>
      <c r="D17" s="9" t="s">
        <v>24</v>
      </c>
    </row>
    <row r="18" spans="1:14" ht="17.600000000000001">
      <c r="A18" s="96" t="s">
        <v>529</v>
      </c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</row>
    <row r="19" spans="1:14" ht="28.3">
      <c r="A19" s="49" t="s">
        <v>25</v>
      </c>
      <c r="B19" s="49" t="s">
        <v>285</v>
      </c>
      <c r="C19" s="49" t="s">
        <v>291</v>
      </c>
      <c r="D19" s="49" t="s">
        <v>157</v>
      </c>
      <c r="E19" s="49" t="s">
        <v>530</v>
      </c>
      <c r="F19" s="49" t="s">
        <v>531</v>
      </c>
      <c r="G19" s="49" t="s">
        <v>26</v>
      </c>
      <c r="H19" s="49" t="s">
        <v>284</v>
      </c>
      <c r="I19" s="49" t="s">
        <v>532</v>
      </c>
      <c r="J19" s="49" t="s">
        <v>533</v>
      </c>
      <c r="K19" s="49" t="s">
        <v>534</v>
      </c>
      <c r="L19" s="49" t="s">
        <v>535</v>
      </c>
      <c r="M19" s="49" t="s">
        <v>536</v>
      </c>
      <c r="N19" s="49" t="s">
        <v>537</v>
      </c>
    </row>
    <row r="20" spans="1:14" ht="35.5" customHeight="1">
      <c r="A20" s="57" t="s">
        <v>38</v>
      </c>
      <c r="B20" s="58">
        <v>800</v>
      </c>
      <c r="C20" s="58">
        <v>800</v>
      </c>
      <c r="D20" s="58">
        <v>35</v>
      </c>
      <c r="E20" s="58">
        <v>0</v>
      </c>
      <c r="F20" s="58">
        <v>9.5</v>
      </c>
      <c r="G20" s="58">
        <v>20</v>
      </c>
      <c r="H20" s="59">
        <v>7.0000000000000007E-2</v>
      </c>
      <c r="I20" s="58">
        <v>600</v>
      </c>
      <c r="J20" s="58">
        <v>800</v>
      </c>
      <c r="K20" s="58">
        <v>1000</v>
      </c>
      <c r="L20" s="60" t="s">
        <v>538</v>
      </c>
      <c r="M20" s="60" t="s">
        <v>539</v>
      </c>
      <c r="N20" s="60" t="s">
        <v>540</v>
      </c>
    </row>
    <row r="21" spans="1:14" ht="35.5" customHeight="1">
      <c r="A21" s="57" t="s">
        <v>40</v>
      </c>
      <c r="B21" s="58">
        <f>J10</f>
        <v>1373.8712923956705</v>
      </c>
      <c r="C21" s="58">
        <f>J10</f>
        <v>1373.8712923956705</v>
      </c>
      <c r="D21" s="58">
        <f>L10</f>
        <v>44.276182072073119</v>
      </c>
      <c r="E21" s="58">
        <f>5.69*I10</f>
        <v>7.1652865753724715</v>
      </c>
      <c r="F21" s="58">
        <v>9.5</v>
      </c>
      <c r="G21" s="58">
        <v>30</v>
      </c>
      <c r="H21" s="59">
        <v>7.0000000000000007E-2</v>
      </c>
      <c r="I21" s="58">
        <f>J9</f>
        <v>1094.0493227368509</v>
      </c>
      <c r="J21" s="58">
        <f>J10</f>
        <v>1373.8712923956705</v>
      </c>
      <c r="K21" s="58">
        <f>J21*1.25</f>
        <v>1717.339115494588</v>
      </c>
      <c r="L21" s="60" t="s">
        <v>538</v>
      </c>
      <c r="M21" s="60" t="s">
        <v>539</v>
      </c>
      <c r="N21" s="60" t="s">
        <v>541</v>
      </c>
    </row>
    <row r="23" spans="1:14">
      <c r="A23" s="98" t="s">
        <v>542</v>
      </c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</row>
    <row r="24" spans="1:14" ht="42.45">
      <c r="A24" s="10" t="s">
        <v>543</v>
      </c>
      <c r="B24" s="51">
        <v>9.5</v>
      </c>
      <c r="C24" s="10" t="s">
        <v>544</v>
      </c>
      <c r="D24" s="10"/>
      <c r="E24" s="10"/>
      <c r="F24" s="10"/>
      <c r="G24" s="10"/>
      <c r="H24" s="10"/>
      <c r="I24" s="10"/>
      <c r="J24" s="10"/>
      <c r="K24" s="10"/>
      <c r="L24" s="10"/>
      <c r="M24" s="10" t="s">
        <v>545</v>
      </c>
      <c r="N24" s="52" t="s">
        <v>517</v>
      </c>
    </row>
    <row r="25" spans="1:14">
      <c r="A25" s="10" t="s">
        <v>546</v>
      </c>
      <c r="B25" s="51">
        <v>163.44999999999999</v>
      </c>
      <c r="C25" s="10" t="s">
        <v>547</v>
      </c>
      <c r="D25" s="10"/>
      <c r="E25" s="10"/>
      <c r="F25" s="10"/>
      <c r="G25" s="10"/>
      <c r="H25" s="10"/>
      <c r="I25" s="10"/>
      <c r="J25" s="10"/>
      <c r="K25" s="10"/>
      <c r="L25" s="10"/>
      <c r="M25" s="10" t="s">
        <v>548</v>
      </c>
      <c r="N25" s="52" t="s">
        <v>549</v>
      </c>
    </row>
    <row r="26" spans="1:14" ht="28.3">
      <c r="A26" s="10" t="s">
        <v>550</v>
      </c>
      <c r="B26" s="51">
        <f>B24*B25/2000</f>
        <v>0.7763874999999999</v>
      </c>
      <c r="C26" s="10" t="s">
        <v>551</v>
      </c>
      <c r="D26" s="10"/>
      <c r="E26" s="10"/>
      <c r="F26" s="10"/>
      <c r="G26" s="10"/>
      <c r="H26" s="10"/>
      <c r="I26" s="10"/>
      <c r="J26" s="10"/>
      <c r="K26" s="10"/>
      <c r="L26" s="10"/>
      <c r="M26" s="10" t="s">
        <v>552</v>
      </c>
      <c r="N26" s="52" t="s">
        <v>549</v>
      </c>
    </row>
  </sheetData>
  <mergeCells count="4">
    <mergeCell ref="A1:N1"/>
    <mergeCell ref="A2:N2"/>
    <mergeCell ref="A18:N18"/>
    <mergeCell ref="A23:N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Recommended_CEM_Base</vt:lpstr>
      <vt:lpstr>Assumptions</vt:lpstr>
      <vt:lpstr>README_Sources</vt:lpstr>
      <vt:lpstr>ERCOT_LTSA_2026</vt:lpstr>
      <vt:lpstr>EIA_AEO2026_TRE</vt:lpstr>
      <vt:lpstr>NLR_ATB_2024b</vt:lpstr>
      <vt:lpstr>NLR_BESS_2025</vt:lpstr>
      <vt:lpstr>LBNL_Actuals</vt:lpstr>
      <vt:lpstr>Compare_2030_2035</vt:lpstr>
      <vt:lpstr>CEM_BaseCase</vt:lpstr>
      <vt:lpstr>HOPE_CostProfiles</vt:lpstr>
      <vt:lpstr>HOPE_GenCandidate</vt:lpstr>
      <vt:lpstr>HOPE_StorageCandidate</vt:lpstr>
      <vt:lpstr>Diesel_Review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 Wang</dc:creator>
  <cp:lastModifiedBy>Shen Wang</cp:lastModifiedBy>
  <dcterms:modified xsi:type="dcterms:W3CDTF">2026-09-27T02:18:32Z</dcterms:modified>
</cp:coreProperties>
</file>